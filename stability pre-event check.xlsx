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8_{51511CCC-F538-427A-9820-5F7930F64330}" xr6:coauthVersionLast="47" xr6:coauthVersionMax="47" xr10:uidLastSave="{00000000-0000-0000-0000-000000000000}"/>
  <bookViews>
    <workbookView xWindow="735" yWindow="735" windowWidth="21600" windowHeight="11295" xr2:uid="{CE9A3D0B-B3F7-41B6-8E35-DDB376959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1" l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W3" i="1"/>
  <c r="V3" i="1"/>
  <c r="U3" i="1"/>
  <c r="T3" i="1"/>
  <c r="S3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<sst xmlns="http://schemas.openxmlformats.org/spreadsheetml/2006/main" count="37" uniqueCount="28">
  <si>
    <t>r_mat_residual</t>
  </si>
  <si>
    <t>r_fin_alpha</t>
  </si>
  <si>
    <t>r_fin_beta</t>
  </si>
  <si>
    <t>r_fin_residual</t>
  </si>
  <si>
    <t>r_cons_alpha</t>
  </si>
  <si>
    <t>r_cons_beta</t>
  </si>
  <si>
    <t>r_cons_residual</t>
  </si>
  <si>
    <t>r_cond_alpha</t>
  </si>
  <si>
    <t>r_cond_beta</t>
  </si>
  <si>
    <t>r_cond_residual</t>
  </si>
  <si>
    <t>VNIND</t>
  </si>
  <si>
    <t>VNMAT</t>
  </si>
  <si>
    <t>VNCONS</t>
  </si>
  <si>
    <t>VNCOND</t>
  </si>
  <si>
    <t>VNFIN</t>
  </si>
  <si>
    <t>Mean</t>
  </si>
  <si>
    <t>Std</t>
  </si>
  <si>
    <t>Minimum</t>
  </si>
  <si>
    <t>Maximum</t>
  </si>
  <si>
    <t>Skewness</t>
  </si>
  <si>
    <t>Kurtosis</t>
  </si>
  <si>
    <t>After</t>
  </si>
  <si>
    <t>date</t>
  </si>
  <si>
    <t>r_ind_alpha</t>
  </si>
  <si>
    <t>r_ind_beta</t>
  </si>
  <si>
    <t>r_ind_residual</t>
  </si>
  <si>
    <t>r_mat_alpha</t>
  </si>
  <si>
    <t>r_mat_beta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</si>
</sst>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7ABB-0A44-47C7-8BBB-E5B4754DA8BE}">
  <dimension ref="A1:W87"/>
  <sheetViews>
    <sheetView tabSelected="1" topLeftCell="H1" workbookViewId="0">
      <selection activeCell="V18" sqref="V18"/>
    </sheetView>
  </sheetViews>
  <sheetFormatPr defaultRowHeight="15" x14ac:dyDescent="0.25"/>
  <cols>
    <col min="1" max="1" width="18.28515625" bestFit="1" customWidth="1"/>
    <col min="2" max="2" width="12.7109375" customWidth="1"/>
    <col min="3" max="3" width="12" customWidth="1"/>
    <col min="4" max="4" width="13.85546875" bestFit="1" customWidth="1"/>
    <col min="5" max="5" width="12.7109375" hidden="1" customWidth="1"/>
    <col min="6" max="6" width="12" hidden="1" customWidth="1"/>
    <col min="7" max="7" width="14.42578125" bestFit="1" customWidth="1"/>
    <col min="8" max="8" width="12.7109375" customWidth="1"/>
    <col min="9" max="9" width="11" customWidth="1"/>
    <col min="10" max="10" width="13.42578125" bestFit="1" customWidth="1"/>
    <col min="11" max="11" width="12.7109375" customWidth="1"/>
    <col min="12" max="12" width="12" customWidth="1"/>
    <col min="13" max="13" width="15" bestFit="1" customWidth="1"/>
    <col min="14" max="14" width="12.85546875" customWidth="1"/>
    <col min="15" max="15" width="12" customWidth="1"/>
    <col min="16" max="16" width="15.28515625" bestFit="1" customWidth="1"/>
    <col min="17" max="17" width="15.28515625" customWidth="1"/>
  </cols>
  <sheetData>
    <row r="1" spans="1:23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2"/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</row>
    <row r="2" spans="1:23" x14ac:dyDescent="0.25">
      <c r="A2" s="5">
        <v>45691</v>
      </c>
      <c r="B2">
        <v>-3.9438892217068369E-4</v>
      </c>
      <c r="C2">
        <v>0.97968896077473133</v>
      </c>
      <c r="E2">
        <v>-1.316728674324897E-3</v>
      </c>
      <c r="F2">
        <v>1.1245368356196579</v>
      </c>
      <c r="H2">
        <v>-2.03422461357592E-4</v>
      </c>
      <c r="I2">
        <v>0.96050930989035299</v>
      </c>
      <c r="K2">
        <v>-9.4516492235521333E-4</v>
      </c>
      <c r="L2">
        <v>0.92883400142879913</v>
      </c>
      <c r="N2">
        <v>-1.6697713651184849E-3</v>
      </c>
      <c r="O2">
        <v>1.126105932326509</v>
      </c>
      <c r="R2" t="s">
        <v>15</v>
      </c>
      <c r="S2" s="4">
        <f>AVERAGE($D$3:$D$44)</f>
        <v>-6.9720442977623033E-4</v>
      </c>
      <c r="T2" s="4">
        <f>AVERAGE($G$3:$G$44)</f>
        <v>2.4660031557063113E-4</v>
      </c>
      <c r="U2" s="4">
        <f>AVERAGE($M$3:$M$44)</f>
        <v>-1.6929847573144755E-4</v>
      </c>
      <c r="V2" s="4">
        <f>AVERAGE($P$3:$P$44)</f>
        <v>-1.5048184031820112E-3</v>
      </c>
      <c r="W2" s="4">
        <f>AVERAGE($J$3:$J$44)</f>
        <v>5.6236948567015292E-4</v>
      </c>
    </row>
    <row r="3" spans="1:23" x14ac:dyDescent="0.25">
      <c r="A3" s="5">
        <v>45692</v>
      </c>
      <c r="B3">
        <v>-3.9438892217068369E-4</v>
      </c>
      <c r="C3">
        <v>0.97968896077473133</v>
      </c>
      <c r="D3">
        <v>2.0666468758153201E-3</v>
      </c>
      <c r="E3">
        <v>-1.316728674324897E-3</v>
      </c>
      <c r="F3">
        <v>1.1245368356196579</v>
      </c>
      <c r="G3">
        <v>7.6216755937142631E-3</v>
      </c>
      <c r="H3">
        <v>-2.03422461357592E-4</v>
      </c>
      <c r="I3">
        <v>0.96050930989035299</v>
      </c>
      <c r="J3">
        <v>4.7625471489170478E-3</v>
      </c>
      <c r="K3">
        <v>-9.4516492235521333E-4</v>
      </c>
      <c r="L3">
        <v>0.92883400142879913</v>
      </c>
      <c r="M3">
        <v>-1.2748074052726841E-3</v>
      </c>
      <c r="N3">
        <v>-1.6697713651184849E-3</v>
      </c>
      <c r="O3">
        <v>1.126105932326509</v>
      </c>
      <c r="P3">
        <v>-9.6664870193178751E-3</v>
      </c>
      <c r="R3" t="s">
        <v>16</v>
      </c>
      <c r="S3" s="4">
        <f>_xlfn.STDEV.S($D$3:$D$44)</f>
        <v>4.4438638528844984E-3</v>
      </c>
      <c r="T3" s="4">
        <f>_xlfn.STDEV.S($G$3:$G$44)</f>
        <v>8.1759422073722533E-3</v>
      </c>
      <c r="U3" s="4">
        <f>_xlfn.STDEV.S($M$3:$M$44)</f>
        <v>4.7168076057155488E-3</v>
      </c>
      <c r="V3" s="4">
        <f>_xlfn.STDEV.S($P$3:$P$44)</f>
        <v>7.3173418147891882E-3</v>
      </c>
      <c r="W3" s="4">
        <f>_xlfn.STDEV.S($J$3:$J$44)</f>
        <v>3.0509153237522867E-3</v>
      </c>
    </row>
    <row r="4" spans="1:23" x14ac:dyDescent="0.25">
      <c r="A4" s="5">
        <v>45693</v>
      </c>
      <c r="B4">
        <v>-3.9438892217068369E-4</v>
      </c>
      <c r="C4">
        <v>0.97968896077473133</v>
      </c>
      <c r="D4">
        <v>6.9456993174982339E-3</v>
      </c>
      <c r="E4">
        <v>-1.316728674324897E-3</v>
      </c>
      <c r="F4">
        <v>1.1245368356196579</v>
      </c>
      <c r="G4">
        <v>-2.8970379784795611E-3</v>
      </c>
      <c r="H4">
        <v>-2.03422461357592E-4</v>
      </c>
      <c r="I4">
        <v>0.96050930989035299</v>
      </c>
      <c r="J4">
        <v>8.8358550676249752E-4</v>
      </c>
      <c r="K4">
        <v>-9.4516492235521333E-4</v>
      </c>
      <c r="L4">
        <v>0.92883400142879913</v>
      </c>
      <c r="M4">
        <v>-3.7279285327769572E-4</v>
      </c>
      <c r="N4">
        <v>-1.6697713651184849E-3</v>
      </c>
      <c r="O4">
        <v>1.126105932326509</v>
      </c>
      <c r="P4">
        <v>-5.1389458471528208E-3</v>
      </c>
      <c r="R4" t="s">
        <v>17</v>
      </c>
      <c r="S4" s="4">
        <f>MIN($D$3:$D$44)</f>
        <v>-1.093308942617896E-2</v>
      </c>
      <c r="T4" s="4">
        <f>MIN($G$3:$G$44)</f>
        <v>-2.4855748377797551E-2</v>
      </c>
      <c r="U4" s="4">
        <f>MIN($M$3:$M$44)</f>
        <v>-8.6587899744437896E-3</v>
      </c>
      <c r="V4" s="4">
        <f>MIN($P$3:$P$44)</f>
        <v>-1.8087489667308582E-2</v>
      </c>
      <c r="W4" s="4">
        <f>MIN($J$3:$J$44)</f>
        <v>-5.9627632916690893E-3</v>
      </c>
    </row>
    <row r="5" spans="1:23" x14ac:dyDescent="0.25">
      <c r="A5" s="5">
        <v>45694</v>
      </c>
      <c r="B5">
        <v>-3.9438892217068369E-4</v>
      </c>
      <c r="C5">
        <v>0.97968896077473133</v>
      </c>
      <c r="D5">
        <v>-4.5247263678222576E-3</v>
      </c>
      <c r="E5">
        <v>-1.316728674324897E-3</v>
      </c>
      <c r="F5">
        <v>1.1245368356196579</v>
      </c>
      <c r="G5">
        <v>-1.7706568902604821E-3</v>
      </c>
      <c r="H5">
        <v>-2.03422461357592E-4</v>
      </c>
      <c r="I5">
        <v>0.96050930989035299</v>
      </c>
      <c r="J5">
        <v>5.3118953694047538E-3</v>
      </c>
      <c r="K5">
        <v>-9.4516492235521333E-4</v>
      </c>
      <c r="L5">
        <v>0.92883400142879913</v>
      </c>
      <c r="M5">
        <v>-3.6138618031689549E-3</v>
      </c>
      <c r="N5">
        <v>-1.6697713651184849E-3</v>
      </c>
      <c r="O5">
        <v>1.126105932326509</v>
      </c>
      <c r="P5">
        <v>-3.5819061701611869E-3</v>
      </c>
      <c r="R5" t="s">
        <v>18</v>
      </c>
      <c r="S5" s="4">
        <f>MAX($D$3:$D$44)</f>
        <v>6.9456993174982339E-3</v>
      </c>
      <c r="T5" s="4">
        <f>MAX($G$3:$G$44)</f>
        <v>2.1088085559886179E-2</v>
      </c>
      <c r="U5" s="4">
        <f>MAX($M$3:$M$44)</f>
        <v>1.2456256770208051E-2</v>
      </c>
      <c r="V5" s="4">
        <f>MAX($P$3:$P$44)</f>
        <v>1.3604342594947709E-2</v>
      </c>
      <c r="W5" s="4">
        <f>MAX($J$3:$J$44)</f>
        <v>9.8554786441889426E-3</v>
      </c>
    </row>
    <row r="6" spans="1:23" x14ac:dyDescent="0.25">
      <c r="A6" s="5">
        <v>45695</v>
      </c>
      <c r="B6">
        <v>-3.9438892217068369E-4</v>
      </c>
      <c r="C6">
        <v>0.97968896077473133</v>
      </c>
      <c r="D6">
        <v>-1.0797801474392999E-3</v>
      </c>
      <c r="E6">
        <v>-1.316728674324897E-3</v>
      </c>
      <c r="F6">
        <v>1.1245368356196579</v>
      </c>
      <c r="G6">
        <v>-6.5167279414673684E-3</v>
      </c>
      <c r="H6">
        <v>-2.03422461357592E-4</v>
      </c>
      <c r="I6">
        <v>0.96050930989035299</v>
      </c>
      <c r="J6">
        <v>2.3076182705083219E-3</v>
      </c>
      <c r="K6">
        <v>-9.4516492235521333E-4</v>
      </c>
      <c r="L6">
        <v>0.92883400142879913</v>
      </c>
      <c r="M6">
        <v>9.1890907990077272E-4</v>
      </c>
      <c r="N6">
        <v>-1.6697713651184849E-3</v>
      </c>
      <c r="O6">
        <v>1.126105932326509</v>
      </c>
      <c r="P6">
        <v>-6.6566093220971206E-3</v>
      </c>
      <c r="R6" t="s">
        <v>19</v>
      </c>
      <c r="S6" s="4">
        <f>SKEW($D$3:$D$44)</f>
        <v>-0.38216448199557307</v>
      </c>
      <c r="T6" s="4">
        <f>SKEW($G$3:$G$44)</f>
        <v>8.001954468167212E-2</v>
      </c>
      <c r="U6" s="4">
        <f>SKEW($M$3:$M$44)</f>
        <v>0.7711713029552798</v>
      </c>
      <c r="V6" s="4">
        <f>SKEW($P$3:$P$44)</f>
        <v>-0.23480192739845412</v>
      </c>
      <c r="W6" s="4">
        <f>SKEW($J$3:$J$44)</f>
        <v>0.5068065633838057</v>
      </c>
    </row>
    <row r="7" spans="1:23" x14ac:dyDescent="0.25">
      <c r="A7" s="5">
        <v>45698</v>
      </c>
      <c r="B7">
        <v>-3.9438892217068369E-4</v>
      </c>
      <c r="C7">
        <v>0.97968896077473133</v>
      </c>
      <c r="D7">
        <v>-7.7080576828531984E-3</v>
      </c>
      <c r="E7">
        <v>-1.316728674324897E-3</v>
      </c>
      <c r="F7">
        <v>1.1245368356196579</v>
      </c>
      <c r="G7">
        <v>-2.4855748377797551E-2</v>
      </c>
      <c r="H7">
        <v>-2.03422461357592E-4</v>
      </c>
      <c r="I7">
        <v>0.96050930989035299</v>
      </c>
      <c r="J7">
        <v>9.8554786441889426E-3</v>
      </c>
      <c r="K7">
        <v>-9.4516492235521333E-4</v>
      </c>
      <c r="L7">
        <v>0.92883400142879913</v>
      </c>
      <c r="M7">
        <v>1.2456256770208051E-2</v>
      </c>
      <c r="N7">
        <v>-1.6697713651184849E-3</v>
      </c>
      <c r="O7">
        <v>1.126105932326509</v>
      </c>
      <c r="P7">
        <v>-1.093807519761021E-2</v>
      </c>
      <c r="R7" t="s">
        <v>20</v>
      </c>
      <c r="S7" s="4">
        <f>KURT($D$3:$D$44)</f>
        <v>-0.5143377347465159</v>
      </c>
      <c r="T7" s="4">
        <f>KURT($G$3:$G$44)</f>
        <v>1.8740109966971308</v>
      </c>
      <c r="U7" s="4">
        <f>KURT($M$3:$M$44)</f>
        <v>0.65748067827728374</v>
      </c>
      <c r="V7" s="4">
        <f>KURT($P$3:$P$44)</f>
        <v>-0.34103312113348894</v>
      </c>
      <c r="W7" s="4">
        <f>KURT($J$3:$J$44)</f>
        <v>0.83177667325416715</v>
      </c>
    </row>
    <row r="8" spans="1:23" x14ac:dyDescent="0.25">
      <c r="A8" s="5">
        <v>45699</v>
      </c>
      <c r="B8">
        <v>-3.9438892217068369E-4</v>
      </c>
      <c r="C8">
        <v>0.97968896077473133</v>
      </c>
      <c r="D8">
        <v>2.400850861621829E-3</v>
      </c>
      <c r="E8">
        <v>-1.316728674324897E-3</v>
      </c>
      <c r="F8">
        <v>1.1245368356196579</v>
      </c>
      <c r="G8">
        <v>1.404780008969419E-2</v>
      </c>
      <c r="H8">
        <v>-2.03422461357592E-4</v>
      </c>
      <c r="I8">
        <v>0.96050930989035299</v>
      </c>
      <c r="J8">
        <v>1.0038698779220141E-3</v>
      </c>
      <c r="K8">
        <v>-9.4516492235521333E-4</v>
      </c>
      <c r="L8">
        <v>0.92883400142879913</v>
      </c>
      <c r="M8">
        <v>-1.15139752816835E-3</v>
      </c>
      <c r="N8">
        <v>-1.6697713651184849E-3</v>
      </c>
      <c r="O8">
        <v>1.126105932326509</v>
      </c>
      <c r="P8">
        <v>-1.121710587610773E-2</v>
      </c>
    </row>
    <row r="9" spans="1:23" x14ac:dyDescent="0.25">
      <c r="A9" s="5">
        <v>45700</v>
      </c>
      <c r="B9">
        <v>-3.9438892217068369E-4</v>
      </c>
      <c r="C9">
        <v>0.97968896077473133</v>
      </c>
      <c r="D9">
        <v>6.3051639317639628E-3</v>
      </c>
      <c r="E9">
        <v>-1.316728674324897E-3</v>
      </c>
      <c r="F9">
        <v>1.1245368356196579</v>
      </c>
      <c r="G9">
        <v>-2.4652347561074941E-3</v>
      </c>
      <c r="H9">
        <v>-2.03422461357592E-4</v>
      </c>
      <c r="I9">
        <v>0.96050930989035299</v>
      </c>
      <c r="J9">
        <v>-5.2401202447507813E-4</v>
      </c>
      <c r="K9">
        <v>-9.4516492235521333E-4</v>
      </c>
      <c r="L9">
        <v>0.92883400142879913</v>
      </c>
      <c r="M9">
        <v>4.1072343683165383E-3</v>
      </c>
      <c r="N9">
        <v>-1.6697713651184849E-3</v>
      </c>
      <c r="O9">
        <v>1.126105932326509</v>
      </c>
      <c r="P9">
        <v>2.9476919566568472E-3</v>
      </c>
      <c r="R9" t="s">
        <v>21</v>
      </c>
      <c r="S9" s="3" t="s">
        <v>10</v>
      </c>
      <c r="T9" s="3" t="s">
        <v>11</v>
      </c>
      <c r="U9" s="3" t="s">
        <v>12</v>
      </c>
    </row>
    <row r="10" spans="1:23" x14ac:dyDescent="0.25">
      <c r="A10" s="5">
        <v>45701</v>
      </c>
      <c r="B10">
        <v>-3.9438892217068369E-4</v>
      </c>
      <c r="C10">
        <v>0.97968896077473133</v>
      </c>
      <c r="D10">
        <v>6.4748535975722651E-3</v>
      </c>
      <c r="E10">
        <v>-1.316728674324897E-3</v>
      </c>
      <c r="F10">
        <v>1.1245368356196579</v>
      </c>
      <c r="G10">
        <v>4.9552005215529856E-3</v>
      </c>
      <c r="H10">
        <v>-2.03422461357592E-4</v>
      </c>
      <c r="I10">
        <v>0.96050930989035299</v>
      </c>
      <c r="J10">
        <v>1.544684266578787E-3</v>
      </c>
      <c r="K10">
        <v>-9.4516492235521333E-4</v>
      </c>
      <c r="L10">
        <v>0.92883400142879913</v>
      </c>
      <c r="M10">
        <v>-1.166704515125684E-3</v>
      </c>
      <c r="N10">
        <v>-1.6697713651184849E-3</v>
      </c>
      <c r="O10">
        <v>1.126105932326509</v>
      </c>
      <c r="P10">
        <v>-1.6696159206863889E-2</v>
      </c>
      <c r="R10" t="s">
        <v>15</v>
      </c>
      <c r="S10" s="4">
        <f>AVERAGE($D$45:$D$87)</f>
        <v>6.8099037326980604E-4</v>
      </c>
      <c r="T10" s="4">
        <f>AVERAGE($G$45:$G$87)</f>
        <v>-2.4086542451084818E-4</v>
      </c>
      <c r="U10" s="4">
        <f>AVERAGE($M$45:$M$87)</f>
        <v>1.6536130187722793E-4</v>
      </c>
      <c r="V10" s="4">
        <f>AVERAGE($D$45:$D$87)</f>
        <v>6.8099037326980604E-4</v>
      </c>
      <c r="W10" s="4">
        <f>AVERAGE($D$45:$D$87)</f>
        <v>6.8099037326980604E-4</v>
      </c>
    </row>
    <row r="11" spans="1:23" x14ac:dyDescent="0.25">
      <c r="A11" s="5">
        <v>45702</v>
      </c>
      <c r="B11">
        <v>-3.9438892217068369E-4</v>
      </c>
      <c r="C11">
        <v>0.97968896077473133</v>
      </c>
      <c r="D11">
        <v>-5.6286030575549567E-3</v>
      </c>
      <c r="E11">
        <v>-1.316728674324897E-3</v>
      </c>
      <c r="F11">
        <v>1.1245368356196579</v>
      </c>
      <c r="G11">
        <v>2.5424563563293569E-3</v>
      </c>
      <c r="H11">
        <v>-2.03422461357592E-4</v>
      </c>
      <c r="I11">
        <v>0.96050930989035299</v>
      </c>
      <c r="J11">
        <v>-2.0601900117323338E-3</v>
      </c>
      <c r="K11">
        <v>-9.4516492235521333E-4</v>
      </c>
      <c r="L11">
        <v>0.92883400142879913</v>
      </c>
      <c r="M11">
        <v>-8.6587899744437896E-3</v>
      </c>
      <c r="N11">
        <v>-1.6697713651184849E-3</v>
      </c>
      <c r="O11">
        <v>1.126105932326509</v>
      </c>
      <c r="P11">
        <v>3.9038740771379561E-3</v>
      </c>
      <c r="R11" t="s">
        <v>16</v>
      </c>
      <c r="S11" s="4">
        <f>_xlfn.STDEV.S($D$45:$D$87)</f>
        <v>1.2542894137220026E-2</v>
      </c>
      <c r="T11" s="4">
        <f>_xlfn.STDEV.S($G$45:$G$87)</f>
        <v>9.2144119002850067E-3</v>
      </c>
      <c r="U11" s="4">
        <f>_xlfn.STDEV.S($M$45:$M$87)</f>
        <v>7.1409201018226018E-3</v>
      </c>
      <c r="V11" s="4">
        <f>_xlfn.STDEV.S($D$45:$D$87)</f>
        <v>1.2542894137220026E-2</v>
      </c>
      <c r="W11" s="4">
        <f>_xlfn.STDEV.S($D$45:$D$87)</f>
        <v>1.2542894137220026E-2</v>
      </c>
    </row>
    <row r="12" spans="1:23" x14ac:dyDescent="0.25">
      <c r="A12" s="5">
        <v>45705</v>
      </c>
      <c r="B12">
        <v>-3.9438892217068369E-4</v>
      </c>
      <c r="C12">
        <v>0.97968896077473133</v>
      </c>
      <c r="D12">
        <v>3.1577231207878258E-3</v>
      </c>
      <c r="E12">
        <v>-1.316728674324897E-3</v>
      </c>
      <c r="F12">
        <v>1.1245368356196579</v>
      </c>
      <c r="G12">
        <v>4.0595469215672069E-3</v>
      </c>
      <c r="H12">
        <v>-2.03422461357592E-4</v>
      </c>
      <c r="I12">
        <v>0.96050930989035299</v>
      </c>
      <c r="J12">
        <v>2.6260199189794661E-3</v>
      </c>
      <c r="K12">
        <v>-9.4516492235521333E-4</v>
      </c>
      <c r="L12">
        <v>0.92883400142879913</v>
      </c>
      <c r="M12">
        <v>-6.4470228648144182E-3</v>
      </c>
      <c r="N12">
        <v>-1.6697713651184849E-3</v>
      </c>
      <c r="O12">
        <v>1.126105932326509</v>
      </c>
      <c r="P12">
        <v>-5.5789219581153003E-3</v>
      </c>
      <c r="R12" t="s">
        <v>17</v>
      </c>
      <c r="S12" s="4">
        <f>MIN($D$45:$D$87)</f>
        <v>-1.9212601591796542E-2</v>
      </c>
      <c r="T12" s="4">
        <f>MIN($G$45:$G$87)</f>
        <v>-2.6364533036059689E-2</v>
      </c>
      <c r="U12" s="4">
        <f>MIN($M$45:$M$87)</f>
        <v>-2.1430537003109151E-2</v>
      </c>
      <c r="V12" s="4">
        <f>MIN($D$45:$D$87)</f>
        <v>-1.9212601591796542E-2</v>
      </c>
      <c r="W12" s="4">
        <f>MIN($D$45:$D$87)</f>
        <v>-1.9212601591796542E-2</v>
      </c>
    </row>
    <row r="13" spans="1:23" x14ac:dyDescent="0.25">
      <c r="A13" s="5">
        <v>45706</v>
      </c>
      <c r="B13">
        <v>-3.9438892217068369E-4</v>
      </c>
      <c r="C13">
        <v>0.97968896077473133</v>
      </c>
      <c r="D13">
        <v>6.4753881260967878E-4</v>
      </c>
      <c r="E13">
        <v>-1.316728674324897E-3</v>
      </c>
      <c r="F13">
        <v>1.1245368356196579</v>
      </c>
      <c r="G13">
        <v>7.6381605303843568E-3</v>
      </c>
      <c r="H13">
        <v>-2.03422461357592E-4</v>
      </c>
      <c r="I13">
        <v>0.96050930989035299</v>
      </c>
      <c r="J13">
        <v>-2.4906552651987172E-3</v>
      </c>
      <c r="K13">
        <v>-9.4516492235521333E-4</v>
      </c>
      <c r="L13">
        <v>0.92883400142879913</v>
      </c>
      <c r="M13">
        <v>-5.6591162142219332E-4</v>
      </c>
      <c r="N13">
        <v>-1.6697713651184849E-3</v>
      </c>
      <c r="O13">
        <v>1.126105932326509</v>
      </c>
      <c r="P13">
        <v>-2.3421925943020068E-3</v>
      </c>
      <c r="R13" t="s">
        <v>18</v>
      </c>
      <c r="S13" s="4">
        <f>MAX($D$45:$D$87)</f>
        <v>3.0043833427718821E-2</v>
      </c>
      <c r="T13" s="4">
        <f>MAX($G$45:$G$87)</f>
        <v>2.0109744696173409E-2</v>
      </c>
      <c r="U13" s="4">
        <f>MAX($M$45:$M$87)</f>
        <v>1.877860663111788E-2</v>
      </c>
      <c r="V13" s="4">
        <f>MAX($D$45:$D$87)</f>
        <v>3.0043833427718821E-2</v>
      </c>
      <c r="W13" s="4">
        <f>MAX($D$45:$D$87)</f>
        <v>3.0043833427718821E-2</v>
      </c>
    </row>
    <row r="14" spans="1:23" x14ac:dyDescent="0.25">
      <c r="A14" s="5">
        <v>45707</v>
      </c>
      <c r="B14">
        <v>-3.9438892217068369E-4</v>
      </c>
      <c r="C14">
        <v>0.97968896077473133</v>
      </c>
      <c r="D14">
        <v>5.9011735548142831E-3</v>
      </c>
      <c r="E14">
        <v>-1.316728674324897E-3</v>
      </c>
      <c r="F14">
        <v>1.1245368356196579</v>
      </c>
      <c r="G14">
        <v>-5.3778968848888359E-3</v>
      </c>
      <c r="H14">
        <v>-2.03422461357592E-4</v>
      </c>
      <c r="I14">
        <v>0.96050930989035299</v>
      </c>
      <c r="J14">
        <v>-1.090460955579117E-3</v>
      </c>
      <c r="K14">
        <v>-9.4516492235521333E-4</v>
      </c>
      <c r="L14">
        <v>0.92883400142879913</v>
      </c>
      <c r="M14">
        <v>6.3122776648219421E-3</v>
      </c>
      <c r="N14">
        <v>-1.6697713651184849E-3</v>
      </c>
      <c r="O14">
        <v>1.126105932326509</v>
      </c>
      <c r="P14">
        <v>9.0135707307979866E-3</v>
      </c>
      <c r="R14" t="s">
        <v>19</v>
      </c>
      <c r="S14" s="4">
        <f>SKEW($D$45:$D$87)</f>
        <v>0.2546111554413007</v>
      </c>
      <c r="T14" s="4">
        <f>SKEW($G$45:$G$87)</f>
        <v>-0.48859654393304214</v>
      </c>
      <c r="U14" s="4">
        <f>SKEW($M$45:$M$87)</f>
        <v>0.10996269588746833</v>
      </c>
      <c r="V14" s="4">
        <f>SKEW($D$45:$D$87)</f>
        <v>0.2546111554413007</v>
      </c>
      <c r="W14" s="4">
        <f>SKEW($D$45:$D$87)</f>
        <v>0.2546111554413007</v>
      </c>
    </row>
    <row r="15" spans="1:23" x14ac:dyDescent="0.25">
      <c r="A15" s="5">
        <v>45708</v>
      </c>
      <c r="B15">
        <v>-3.9438892217068369E-4</v>
      </c>
      <c r="C15">
        <v>0.97968896077473133</v>
      </c>
      <c r="D15">
        <v>-5.9672274833411816E-3</v>
      </c>
      <c r="E15">
        <v>-1.316728674324897E-3</v>
      </c>
      <c r="F15">
        <v>1.1245368356196579</v>
      </c>
      <c r="G15">
        <v>5.1684510108358306E-3</v>
      </c>
      <c r="H15">
        <v>-2.03422461357592E-4</v>
      </c>
      <c r="I15">
        <v>0.96050930989035299</v>
      </c>
      <c r="J15">
        <v>8.265139243534593E-6</v>
      </c>
      <c r="K15">
        <v>-9.4516492235521333E-4</v>
      </c>
      <c r="L15">
        <v>0.92883400142879913</v>
      </c>
      <c r="M15">
        <v>-1.2571059681805339E-3</v>
      </c>
      <c r="N15">
        <v>-1.6697713651184849E-3</v>
      </c>
      <c r="O15">
        <v>1.126105932326509</v>
      </c>
      <c r="P15">
        <v>3.098112265095045E-3</v>
      </c>
      <c r="R15" t="s">
        <v>20</v>
      </c>
      <c r="S15" s="4">
        <f>KURT($D$45:$D$87)</f>
        <v>-0.37910713967267418</v>
      </c>
      <c r="T15" s="4">
        <f>KURT($G$45:$G$87)</f>
        <v>1.3748653883821373</v>
      </c>
      <c r="U15" s="4">
        <f>KURT($M$45:$M$87)</f>
        <v>2.4099453046323549</v>
      </c>
      <c r="V15" s="4">
        <f>KURT($D$45:$D$87)</f>
        <v>-0.37910713967267418</v>
      </c>
      <c r="W15" s="4">
        <f>KURT($D$45:$D$87)</f>
        <v>-0.37910713967267418</v>
      </c>
    </row>
    <row r="16" spans="1:23" x14ac:dyDescent="0.25">
      <c r="A16" s="5">
        <v>45709</v>
      </c>
      <c r="B16">
        <v>-3.9438892217068369E-4</v>
      </c>
      <c r="C16">
        <v>0.97968896077473133</v>
      </c>
      <c r="D16">
        <v>-4.8769076623407558E-4</v>
      </c>
      <c r="E16">
        <v>-1.316728674324897E-3</v>
      </c>
      <c r="F16">
        <v>1.1245368356196579</v>
      </c>
      <c r="G16">
        <v>-4.7437907104997314E-3</v>
      </c>
      <c r="H16">
        <v>-2.03422461357592E-4</v>
      </c>
      <c r="I16">
        <v>0.96050930989035299</v>
      </c>
      <c r="J16">
        <v>9.1735295978885318E-4</v>
      </c>
      <c r="K16">
        <v>-9.4516492235521333E-4</v>
      </c>
      <c r="L16">
        <v>0.92883400142879913</v>
      </c>
      <c r="M16">
        <v>1.9927175673244649E-3</v>
      </c>
      <c r="N16">
        <v>-1.6697713651184849E-3</v>
      </c>
      <c r="O16">
        <v>1.126105932326509</v>
      </c>
      <c r="P16">
        <v>8.6628600780672086E-3</v>
      </c>
    </row>
    <row r="17" spans="1:16" x14ac:dyDescent="0.25">
      <c r="A17" s="5">
        <v>45712</v>
      </c>
      <c r="B17">
        <v>-3.9438892217068369E-4</v>
      </c>
      <c r="C17">
        <v>0.97968896077473133</v>
      </c>
      <c r="D17">
        <v>-6.1746263963083454E-3</v>
      </c>
      <c r="E17">
        <v>-1.316728674324897E-3</v>
      </c>
      <c r="F17">
        <v>1.1245368356196579</v>
      </c>
      <c r="G17">
        <v>2.1088085559886179E-2</v>
      </c>
      <c r="H17">
        <v>-2.03422461357592E-4</v>
      </c>
      <c r="I17">
        <v>0.96050930989035299</v>
      </c>
      <c r="J17">
        <v>2.3900607096049818E-3</v>
      </c>
      <c r="K17">
        <v>-9.4516492235521333E-4</v>
      </c>
      <c r="L17">
        <v>0.92883400142879913</v>
      </c>
      <c r="M17">
        <v>9.4640773335680599E-3</v>
      </c>
      <c r="N17">
        <v>-1.6697713651184849E-3</v>
      </c>
      <c r="O17">
        <v>1.126105932326509</v>
      </c>
      <c r="P17">
        <v>-4.4199977988439521E-3</v>
      </c>
    </row>
    <row r="18" spans="1:16" x14ac:dyDescent="0.25">
      <c r="A18" s="5">
        <v>45713</v>
      </c>
      <c r="B18">
        <v>-3.9438892217068369E-4</v>
      </c>
      <c r="C18">
        <v>0.97968896077473133</v>
      </c>
      <c r="D18">
        <v>1.765488951848256E-3</v>
      </c>
      <c r="E18">
        <v>-1.316728674324897E-3</v>
      </c>
      <c r="F18">
        <v>1.1245368356196579</v>
      </c>
      <c r="G18">
        <v>-1.1685057177473119E-3</v>
      </c>
      <c r="H18">
        <v>-2.03422461357592E-4</v>
      </c>
      <c r="I18">
        <v>0.96050930989035299</v>
      </c>
      <c r="J18">
        <v>-2.6576711005037358E-4</v>
      </c>
      <c r="K18">
        <v>-9.4516492235521333E-4</v>
      </c>
      <c r="L18">
        <v>0.92883400142879913</v>
      </c>
      <c r="M18">
        <v>5.0387947248281616E-4</v>
      </c>
      <c r="N18">
        <v>-1.6697713651184849E-3</v>
      </c>
      <c r="O18">
        <v>1.126105932326509</v>
      </c>
      <c r="P18">
        <v>1.551351140762919E-3</v>
      </c>
    </row>
    <row r="19" spans="1:16" x14ac:dyDescent="0.25">
      <c r="A19" s="5">
        <v>45714</v>
      </c>
      <c r="B19">
        <v>-3.9438892217068369E-4</v>
      </c>
      <c r="C19">
        <v>0.97968896077473133</v>
      </c>
      <c r="D19">
        <v>4.5139128461694578E-4</v>
      </c>
      <c r="E19">
        <v>-1.316728674324897E-3</v>
      </c>
      <c r="F19">
        <v>1.1245368356196579</v>
      </c>
      <c r="G19">
        <v>8.0631681620023047E-3</v>
      </c>
      <c r="H19">
        <v>-2.03422461357592E-4</v>
      </c>
      <c r="I19">
        <v>0.96050930989035299</v>
      </c>
      <c r="J19">
        <v>-2.860289735008088E-3</v>
      </c>
      <c r="K19">
        <v>-9.4516492235521333E-4</v>
      </c>
      <c r="L19">
        <v>0.92883400142879913</v>
      </c>
      <c r="M19">
        <v>8.6395703641907993E-4</v>
      </c>
      <c r="N19">
        <v>-1.6697713651184849E-3</v>
      </c>
      <c r="O19">
        <v>1.126105932326509</v>
      </c>
      <c r="P19">
        <v>8.6504942147504586E-3</v>
      </c>
    </row>
    <row r="20" spans="1:16" x14ac:dyDescent="0.25">
      <c r="A20" s="5">
        <v>45715</v>
      </c>
      <c r="B20">
        <v>-3.9438892217068369E-4</v>
      </c>
      <c r="C20">
        <v>0.97968896077473133</v>
      </c>
      <c r="D20">
        <v>1.0809356828493659E-3</v>
      </c>
      <c r="E20">
        <v>-1.316728674324897E-3</v>
      </c>
      <c r="F20">
        <v>1.1245368356196579</v>
      </c>
      <c r="G20">
        <v>1.767689302049702E-2</v>
      </c>
      <c r="H20">
        <v>-2.03422461357592E-4</v>
      </c>
      <c r="I20">
        <v>0.96050930989035299</v>
      </c>
      <c r="J20">
        <v>-2.0287074232650088E-3</v>
      </c>
      <c r="K20">
        <v>-9.4516492235521333E-4</v>
      </c>
      <c r="L20">
        <v>0.92883400142879913</v>
      </c>
      <c r="M20">
        <v>-1.233545006272093E-3</v>
      </c>
      <c r="N20">
        <v>-1.6697713651184849E-3</v>
      </c>
      <c r="O20">
        <v>1.126105932326509</v>
      </c>
      <c r="P20">
        <v>-2.4963170519757801E-3</v>
      </c>
    </row>
    <row r="21" spans="1:16" x14ac:dyDescent="0.25">
      <c r="A21" s="5">
        <v>45716</v>
      </c>
      <c r="B21">
        <v>-3.9438892217068369E-4</v>
      </c>
      <c r="C21">
        <v>0.97968896077473133</v>
      </c>
      <c r="D21">
        <v>-2.21733442656806E-3</v>
      </c>
      <c r="E21">
        <v>-1.316728674324897E-3</v>
      </c>
      <c r="F21">
        <v>1.1245368356196579</v>
      </c>
      <c r="G21">
        <v>-3.143975051564411E-3</v>
      </c>
      <c r="H21">
        <v>-2.03422461357592E-4</v>
      </c>
      <c r="I21">
        <v>0.96050930989035299</v>
      </c>
      <c r="J21">
        <v>-2.5198086358325E-3</v>
      </c>
      <c r="K21">
        <v>-9.4516492235521333E-4</v>
      </c>
      <c r="L21">
        <v>0.92883400142879913</v>
      </c>
      <c r="M21">
        <v>-1.499870362356915E-3</v>
      </c>
      <c r="N21">
        <v>-1.6697713651184849E-3</v>
      </c>
      <c r="O21">
        <v>1.126105932326509</v>
      </c>
      <c r="P21">
        <v>-8.5328795734389631E-4</v>
      </c>
    </row>
    <row r="22" spans="1:16" x14ac:dyDescent="0.25">
      <c r="A22" s="5">
        <v>45719</v>
      </c>
      <c r="B22">
        <v>-3.9438892217068369E-4</v>
      </c>
      <c r="C22">
        <v>0.97968896077473133</v>
      </c>
      <c r="D22">
        <v>-6.4303631352099913E-4</v>
      </c>
      <c r="E22">
        <v>-1.316728674324897E-3</v>
      </c>
      <c r="F22">
        <v>1.1245368356196579</v>
      </c>
      <c r="G22">
        <v>5.0124394396874102E-4</v>
      </c>
      <c r="H22">
        <v>-2.03422461357592E-4</v>
      </c>
      <c r="I22">
        <v>0.96050930989035299</v>
      </c>
      <c r="J22">
        <v>-1.7780163434385379E-3</v>
      </c>
      <c r="K22">
        <v>-9.4516492235521333E-4</v>
      </c>
      <c r="L22">
        <v>0.92883400142879913</v>
      </c>
      <c r="M22">
        <v>4.6952511291034919E-3</v>
      </c>
      <c r="N22">
        <v>-1.6697713651184849E-3</v>
      </c>
      <c r="O22">
        <v>1.126105932326509</v>
      </c>
      <c r="P22">
        <v>9.0626026494899426E-4</v>
      </c>
    </row>
    <row r="23" spans="1:16" x14ac:dyDescent="0.25">
      <c r="A23" s="5">
        <v>45720</v>
      </c>
      <c r="B23">
        <v>-3.9438892217068369E-4</v>
      </c>
      <c r="C23">
        <v>0.97968896077473133</v>
      </c>
      <c r="D23">
        <v>-2.472882293236884E-3</v>
      </c>
      <c r="E23">
        <v>-1.316728674324897E-3</v>
      </c>
      <c r="F23">
        <v>1.1245368356196579</v>
      </c>
      <c r="G23">
        <v>-6.9076413582804374E-3</v>
      </c>
      <c r="H23">
        <v>-2.03422461357592E-4</v>
      </c>
      <c r="I23">
        <v>0.96050930989035299</v>
      </c>
      <c r="J23">
        <v>4.9584053346949366E-3</v>
      </c>
      <c r="K23">
        <v>-9.4516492235521333E-4</v>
      </c>
      <c r="L23">
        <v>0.92883400142879913</v>
      </c>
      <c r="M23">
        <v>6.6932925367032946E-3</v>
      </c>
      <c r="N23">
        <v>-1.6697713651184849E-3</v>
      </c>
      <c r="O23">
        <v>1.126105932326509</v>
      </c>
      <c r="P23">
        <v>4.2826206731128528E-3</v>
      </c>
    </row>
    <row r="24" spans="1:16" x14ac:dyDescent="0.25">
      <c r="A24" s="5">
        <v>45721</v>
      </c>
      <c r="B24">
        <v>-3.9438892217068369E-4</v>
      </c>
      <c r="C24">
        <v>0.97968896077473133</v>
      </c>
      <c r="D24">
        <v>-7.0632552621883154E-3</v>
      </c>
      <c r="E24">
        <v>-1.316728674324897E-3</v>
      </c>
      <c r="F24">
        <v>1.1245368356196579</v>
      </c>
      <c r="G24">
        <v>-5.3192817574417824E-3</v>
      </c>
      <c r="H24">
        <v>-2.03422461357592E-4</v>
      </c>
      <c r="I24">
        <v>0.96050930989035299</v>
      </c>
      <c r="J24">
        <v>1.5410876661344521E-3</v>
      </c>
      <c r="K24">
        <v>-9.4516492235521333E-4</v>
      </c>
      <c r="L24">
        <v>0.92883400142879913</v>
      </c>
      <c r="M24">
        <v>-2.452767598591928E-3</v>
      </c>
      <c r="N24">
        <v>-1.6697713651184849E-3</v>
      </c>
      <c r="O24">
        <v>1.126105932326509</v>
      </c>
      <c r="P24">
        <v>5.6163769455228989E-3</v>
      </c>
    </row>
    <row r="25" spans="1:16" x14ac:dyDescent="0.25">
      <c r="A25" s="5">
        <v>45722</v>
      </c>
      <c r="B25">
        <v>-3.9438892217068369E-4</v>
      </c>
      <c r="C25">
        <v>0.97968896077473133</v>
      </c>
      <c r="D25">
        <v>7.3355223137487428E-4</v>
      </c>
      <c r="E25">
        <v>-1.316728674324897E-3</v>
      </c>
      <c r="F25">
        <v>1.1245368356196579</v>
      </c>
      <c r="G25">
        <v>3.582805085503302E-3</v>
      </c>
      <c r="H25">
        <v>-2.03422461357592E-4</v>
      </c>
      <c r="I25">
        <v>0.96050930989035299</v>
      </c>
      <c r="J25">
        <v>1.8424156511557021E-3</v>
      </c>
      <c r="K25">
        <v>-9.4516492235521333E-4</v>
      </c>
      <c r="L25">
        <v>0.92883400142879913</v>
      </c>
      <c r="M25">
        <v>-1.203407690147055E-3</v>
      </c>
      <c r="N25">
        <v>-1.6697713651184849E-3</v>
      </c>
      <c r="O25">
        <v>1.126105932326509</v>
      </c>
      <c r="P25">
        <v>1.3604342594947709E-2</v>
      </c>
    </row>
    <row r="26" spans="1:16" x14ac:dyDescent="0.25">
      <c r="A26" s="5">
        <v>45723</v>
      </c>
      <c r="B26">
        <v>-3.9438892217068369E-4</v>
      </c>
      <c r="C26">
        <v>0.97968896077473133</v>
      </c>
      <c r="D26">
        <v>-6.9741501153370222E-3</v>
      </c>
      <c r="E26">
        <v>-1.316728674324897E-3</v>
      </c>
      <c r="F26">
        <v>1.1245368356196579</v>
      </c>
      <c r="G26">
        <v>-3.9875396896533804E-3</v>
      </c>
      <c r="H26">
        <v>-2.03422461357592E-4</v>
      </c>
      <c r="I26">
        <v>0.96050930989035299</v>
      </c>
      <c r="J26">
        <v>2.069923112354554E-5</v>
      </c>
      <c r="K26">
        <v>-9.4516492235521333E-4</v>
      </c>
      <c r="L26">
        <v>0.92883400142879913</v>
      </c>
      <c r="M26">
        <v>-7.3693230083481786E-3</v>
      </c>
      <c r="N26">
        <v>-1.6697713651184849E-3</v>
      </c>
      <c r="O26">
        <v>1.126105932326509</v>
      </c>
      <c r="P26">
        <v>-4.6806159164604439E-3</v>
      </c>
    </row>
    <row r="27" spans="1:16" x14ac:dyDescent="0.25">
      <c r="A27" s="5">
        <v>45726</v>
      </c>
      <c r="B27">
        <v>-3.9438892217068369E-4</v>
      </c>
      <c r="C27">
        <v>0.97968896077473133</v>
      </c>
      <c r="D27">
        <v>-1.7207851379345161E-3</v>
      </c>
      <c r="E27">
        <v>-1.316728674324897E-3</v>
      </c>
      <c r="F27">
        <v>1.1245368356196579</v>
      </c>
      <c r="G27">
        <v>-6.3921916552518799E-3</v>
      </c>
      <c r="H27">
        <v>-2.03422461357592E-4</v>
      </c>
      <c r="I27">
        <v>0.96050930989035299</v>
      </c>
      <c r="J27">
        <v>-2.7894192107148922E-3</v>
      </c>
      <c r="K27">
        <v>-9.4516492235521333E-4</v>
      </c>
      <c r="L27">
        <v>0.92883400142879913</v>
      </c>
      <c r="M27">
        <v>-5.0010681762940011E-3</v>
      </c>
      <c r="N27">
        <v>-1.6697713651184849E-3</v>
      </c>
      <c r="O27">
        <v>1.126105932326509</v>
      </c>
      <c r="P27">
        <v>-3.8690802036072522E-3</v>
      </c>
    </row>
    <row r="28" spans="1:16" x14ac:dyDescent="0.25">
      <c r="A28" s="5">
        <v>45727</v>
      </c>
      <c r="B28">
        <v>-3.9438892217068369E-4</v>
      </c>
      <c r="C28">
        <v>0.97968896077473133</v>
      </c>
      <c r="D28">
        <v>4.3201833993315118E-4</v>
      </c>
      <c r="E28">
        <v>-1.316728674324897E-3</v>
      </c>
      <c r="F28">
        <v>1.1245368356196579</v>
      </c>
      <c r="G28">
        <v>4.0777843058111187E-3</v>
      </c>
      <c r="H28">
        <v>-2.03422461357592E-4</v>
      </c>
      <c r="I28">
        <v>0.96050930989035299</v>
      </c>
      <c r="J28">
        <v>2.215110575972483E-3</v>
      </c>
      <c r="K28">
        <v>-9.4516492235521333E-4</v>
      </c>
      <c r="L28">
        <v>0.92883400142879913</v>
      </c>
      <c r="M28">
        <v>-2.050955991550074E-3</v>
      </c>
      <c r="N28">
        <v>-1.6697713651184849E-3</v>
      </c>
      <c r="O28">
        <v>1.126105932326509</v>
      </c>
      <c r="P28">
        <v>7.9639226081304644E-3</v>
      </c>
    </row>
    <row r="29" spans="1:16" x14ac:dyDescent="0.25">
      <c r="A29" s="5">
        <v>45728</v>
      </c>
      <c r="B29">
        <v>-3.9438892217068369E-4</v>
      </c>
      <c r="C29">
        <v>0.97968896077473133</v>
      </c>
      <c r="D29">
        <v>-6.47851434380737E-3</v>
      </c>
      <c r="E29">
        <v>-1.316728674324897E-3</v>
      </c>
      <c r="F29">
        <v>1.1245368356196579</v>
      </c>
      <c r="G29">
        <v>-8.0988715397134967E-3</v>
      </c>
      <c r="H29">
        <v>-2.03422461357592E-4</v>
      </c>
      <c r="I29">
        <v>0.96050930989035299</v>
      </c>
      <c r="J29">
        <v>-1.0166198035564311E-3</v>
      </c>
      <c r="K29">
        <v>-9.4516492235521333E-4</v>
      </c>
      <c r="L29">
        <v>0.92883400142879913</v>
      </c>
      <c r="M29">
        <v>-3.1001409143339318E-3</v>
      </c>
      <c r="N29">
        <v>-1.6697713651184849E-3</v>
      </c>
      <c r="O29">
        <v>1.126105932326509</v>
      </c>
      <c r="P29">
        <v>-8.0512276626885856E-3</v>
      </c>
    </row>
    <row r="30" spans="1:16" x14ac:dyDescent="0.25">
      <c r="A30" s="5">
        <v>45729</v>
      </c>
      <c r="B30">
        <v>-3.9438892217068369E-4</v>
      </c>
      <c r="C30">
        <v>0.97968896077473133</v>
      </c>
      <c r="D30">
        <v>-8.809920806683259E-3</v>
      </c>
      <c r="E30">
        <v>-1.316728674324897E-3</v>
      </c>
      <c r="F30">
        <v>1.1245368356196579</v>
      </c>
      <c r="G30">
        <v>5.605051327614294E-3</v>
      </c>
      <c r="H30">
        <v>-2.03422461357592E-4</v>
      </c>
      <c r="I30">
        <v>0.96050930989035299</v>
      </c>
      <c r="J30">
        <v>-5.9627632916690893E-3</v>
      </c>
      <c r="K30">
        <v>-9.4516492235521333E-4</v>
      </c>
      <c r="L30">
        <v>0.92883400142879913</v>
      </c>
      <c r="M30">
        <v>1.0576164124168111E-2</v>
      </c>
      <c r="N30">
        <v>-1.6697713651184849E-3</v>
      </c>
      <c r="O30">
        <v>1.126105932326509</v>
      </c>
      <c r="P30">
        <v>-3.9858623670033407E-3</v>
      </c>
    </row>
    <row r="31" spans="1:16" x14ac:dyDescent="0.25">
      <c r="A31" s="5">
        <v>45730</v>
      </c>
      <c r="B31">
        <v>-3.9438892217068369E-4</v>
      </c>
      <c r="C31">
        <v>0.97968896077473133</v>
      </c>
      <c r="D31">
        <v>-5.4887649768807856E-3</v>
      </c>
      <c r="E31">
        <v>-1.316728674324897E-3</v>
      </c>
      <c r="F31">
        <v>1.1245368356196579</v>
      </c>
      <c r="G31">
        <v>-9.6573270309391855E-3</v>
      </c>
      <c r="H31">
        <v>-2.03422461357592E-4</v>
      </c>
      <c r="I31">
        <v>0.96050930989035299</v>
      </c>
      <c r="J31">
        <v>3.151968933370157E-3</v>
      </c>
      <c r="K31">
        <v>-9.4516492235521333E-4</v>
      </c>
      <c r="L31">
        <v>0.92883400142879913</v>
      </c>
      <c r="M31">
        <v>4.0109425252673487E-3</v>
      </c>
      <c r="N31">
        <v>-1.6697713651184849E-3</v>
      </c>
      <c r="O31">
        <v>1.126105932326509</v>
      </c>
      <c r="P31">
        <v>-4.9460422445261184E-3</v>
      </c>
    </row>
    <row r="32" spans="1:16" x14ac:dyDescent="0.25">
      <c r="A32" s="5">
        <v>45733</v>
      </c>
      <c r="B32">
        <v>-3.9438892217068369E-4</v>
      </c>
      <c r="C32">
        <v>0.97968896077473133</v>
      </c>
      <c r="D32">
        <v>-2.1870063348172252E-3</v>
      </c>
      <c r="E32">
        <v>-1.316728674324897E-3</v>
      </c>
      <c r="F32">
        <v>1.1245368356196579</v>
      </c>
      <c r="G32">
        <v>-1.2934230690534901E-3</v>
      </c>
      <c r="H32">
        <v>-2.03422461357592E-4</v>
      </c>
      <c r="I32">
        <v>0.96050930989035299</v>
      </c>
      <c r="J32">
        <v>3.6558353676359231E-3</v>
      </c>
      <c r="K32">
        <v>-9.4516492235521333E-4</v>
      </c>
      <c r="L32">
        <v>0.92883400142879913</v>
      </c>
      <c r="M32">
        <v>-4.3407018909392458E-3</v>
      </c>
      <c r="N32">
        <v>-1.6697713651184849E-3</v>
      </c>
      <c r="O32">
        <v>1.126105932326509</v>
      </c>
      <c r="P32">
        <v>1.775080028381627E-4</v>
      </c>
    </row>
    <row r="33" spans="1:16" x14ac:dyDescent="0.25">
      <c r="A33" s="5">
        <v>45734</v>
      </c>
      <c r="B33">
        <v>-3.9438892217068369E-4</v>
      </c>
      <c r="C33">
        <v>0.97968896077473133</v>
      </c>
      <c r="D33">
        <v>5.1337091819905062E-3</v>
      </c>
      <c r="E33">
        <v>-1.316728674324897E-3</v>
      </c>
      <c r="F33">
        <v>1.1245368356196579</v>
      </c>
      <c r="G33">
        <v>-9.3133877071966634E-4</v>
      </c>
      <c r="H33">
        <v>-2.03422461357592E-4</v>
      </c>
      <c r="I33">
        <v>0.96050930989035299</v>
      </c>
      <c r="J33">
        <v>4.5428575206304418E-4</v>
      </c>
      <c r="K33">
        <v>-9.4516492235521333E-4</v>
      </c>
      <c r="L33">
        <v>0.92883400142879913</v>
      </c>
      <c r="M33">
        <v>-1.168122692190057E-3</v>
      </c>
      <c r="N33">
        <v>-1.6697713651184849E-3</v>
      </c>
      <c r="O33">
        <v>1.126105932326509</v>
      </c>
      <c r="P33">
        <v>3.035271851858362E-3</v>
      </c>
    </row>
    <row r="34" spans="1:16" x14ac:dyDescent="0.25">
      <c r="A34" s="5">
        <v>45735</v>
      </c>
      <c r="B34">
        <v>-3.9438892217068369E-4</v>
      </c>
      <c r="C34">
        <v>0.97968896077473133</v>
      </c>
      <c r="D34">
        <v>1.0312510439442861E-3</v>
      </c>
      <c r="E34">
        <v>-1.316728674324897E-3</v>
      </c>
      <c r="F34">
        <v>1.1245368356196579</v>
      </c>
      <c r="G34">
        <v>-1.059559007677698E-3</v>
      </c>
      <c r="H34">
        <v>-2.03422461357592E-4</v>
      </c>
      <c r="I34">
        <v>0.96050930989035299</v>
      </c>
      <c r="J34">
        <v>1.451885343951514E-3</v>
      </c>
      <c r="K34">
        <v>-9.4516492235521333E-4</v>
      </c>
      <c r="L34">
        <v>0.92883400142879913</v>
      </c>
      <c r="M34">
        <v>-1.808539540699601E-3</v>
      </c>
      <c r="N34">
        <v>-1.6697713651184849E-3</v>
      </c>
      <c r="O34">
        <v>1.126105932326509</v>
      </c>
      <c r="P34">
        <v>-1.343420261454913E-2</v>
      </c>
    </row>
    <row r="35" spans="1:16" x14ac:dyDescent="0.25">
      <c r="A35" s="5">
        <v>45736</v>
      </c>
      <c r="B35">
        <v>-3.9438892217068369E-4</v>
      </c>
      <c r="C35">
        <v>0.97968896077473133</v>
      </c>
      <c r="D35">
        <v>1.3321344946769309E-3</v>
      </c>
      <c r="E35">
        <v>-1.316728674324897E-3</v>
      </c>
      <c r="F35">
        <v>1.1245368356196579</v>
      </c>
      <c r="G35">
        <v>-1.439514341569892E-3</v>
      </c>
      <c r="H35">
        <v>-2.03422461357592E-4</v>
      </c>
      <c r="I35">
        <v>0.96050930989035299</v>
      </c>
      <c r="J35">
        <v>1.7463608459064551E-3</v>
      </c>
      <c r="K35">
        <v>-9.4516492235521333E-4</v>
      </c>
      <c r="L35">
        <v>0.92883400142879913</v>
      </c>
      <c r="M35">
        <v>-3.6546352891840619E-3</v>
      </c>
      <c r="N35">
        <v>-1.6697713651184849E-3</v>
      </c>
      <c r="O35">
        <v>1.126105932326509</v>
      </c>
      <c r="P35">
        <v>6.9401320581522147E-3</v>
      </c>
    </row>
    <row r="36" spans="1:16" x14ac:dyDescent="0.25">
      <c r="A36" s="5">
        <v>45737</v>
      </c>
      <c r="B36">
        <v>-3.9438892217068369E-4</v>
      </c>
      <c r="C36">
        <v>0.97968896077473133</v>
      </c>
      <c r="D36">
        <v>1.724353840290443E-3</v>
      </c>
      <c r="E36">
        <v>-1.316728674324897E-3</v>
      </c>
      <c r="F36">
        <v>1.1245368356196579</v>
      </c>
      <c r="G36">
        <v>5.5425320172114824E-4</v>
      </c>
      <c r="H36">
        <v>-2.03422461357592E-4</v>
      </c>
      <c r="I36">
        <v>0.96050930989035299</v>
      </c>
      <c r="J36">
        <v>-4.1808647049617689E-3</v>
      </c>
      <c r="K36">
        <v>-9.4516492235521333E-4</v>
      </c>
      <c r="L36">
        <v>0.92883400142879913</v>
      </c>
      <c r="M36">
        <v>-3.086881344575854E-3</v>
      </c>
      <c r="N36">
        <v>-1.6697713651184849E-3</v>
      </c>
      <c r="O36">
        <v>1.126105932326509</v>
      </c>
      <c r="P36">
        <v>5.4839208286064107E-3</v>
      </c>
    </row>
    <row r="37" spans="1:16" x14ac:dyDescent="0.25">
      <c r="A37" s="5">
        <v>45740</v>
      </c>
      <c r="B37">
        <v>-3.9438892217068369E-4</v>
      </c>
      <c r="C37">
        <v>0.97968896077473133</v>
      </c>
      <c r="D37">
        <v>-1.093308942617896E-2</v>
      </c>
      <c r="E37">
        <v>-1.316728674324897E-3</v>
      </c>
      <c r="F37">
        <v>1.1245368356196579</v>
      </c>
      <c r="G37">
        <v>-7.3945003119277554E-3</v>
      </c>
      <c r="H37">
        <v>-2.03422461357592E-4</v>
      </c>
      <c r="I37">
        <v>0.96050930989035299</v>
      </c>
      <c r="J37">
        <v>-1.4694843603878091E-3</v>
      </c>
      <c r="K37">
        <v>-9.4516492235521333E-4</v>
      </c>
      <c r="L37">
        <v>0.92883400142879913</v>
      </c>
      <c r="M37">
        <v>-2.5356416935585439E-4</v>
      </c>
      <c r="N37">
        <v>-1.6697713651184849E-3</v>
      </c>
      <c r="O37">
        <v>1.126105932326509</v>
      </c>
      <c r="P37">
        <v>-1.0946221171726819E-2</v>
      </c>
    </row>
    <row r="38" spans="1:16" x14ac:dyDescent="0.25">
      <c r="A38" s="5">
        <v>45741</v>
      </c>
      <c r="B38">
        <v>-3.9438892217068369E-4</v>
      </c>
      <c r="C38">
        <v>0.97968896077473133</v>
      </c>
      <c r="D38">
        <v>1.469845764275332E-3</v>
      </c>
      <c r="E38">
        <v>-1.316728674324897E-3</v>
      </c>
      <c r="F38">
        <v>1.1245368356196579</v>
      </c>
      <c r="G38">
        <v>4.8326433515545201E-3</v>
      </c>
      <c r="H38">
        <v>-2.03422461357592E-4</v>
      </c>
      <c r="I38">
        <v>0.96050930989035299</v>
      </c>
      <c r="J38">
        <v>-2.518994876405225E-3</v>
      </c>
      <c r="K38">
        <v>-9.4516492235521333E-4</v>
      </c>
      <c r="L38">
        <v>0.92883400142879913</v>
      </c>
      <c r="M38">
        <v>7.8437814877125786E-4</v>
      </c>
      <c r="N38">
        <v>-1.6697713651184849E-3</v>
      </c>
      <c r="O38">
        <v>1.126105932326509</v>
      </c>
      <c r="P38">
        <v>2.218232026929394E-4</v>
      </c>
    </row>
    <row r="39" spans="1:16" x14ac:dyDescent="0.25">
      <c r="A39" s="5">
        <v>45742</v>
      </c>
      <c r="B39">
        <v>-3.9438892217068369E-4</v>
      </c>
      <c r="C39">
        <v>0.97968896077473133</v>
      </c>
      <c r="D39">
        <v>2.3264395241997058E-3</v>
      </c>
      <c r="E39">
        <v>-1.316728674324897E-3</v>
      </c>
      <c r="F39">
        <v>1.1245368356196579</v>
      </c>
      <c r="G39">
        <v>1.485918096260965E-2</v>
      </c>
      <c r="H39">
        <v>-2.03422461357592E-4</v>
      </c>
      <c r="I39">
        <v>0.96050930989035299</v>
      </c>
      <c r="J39">
        <v>-3.181820140894217E-3</v>
      </c>
      <c r="K39">
        <v>-9.4516492235521333E-4</v>
      </c>
      <c r="L39">
        <v>0.92883400142879913</v>
      </c>
      <c r="M39">
        <v>1.1365946416661489E-3</v>
      </c>
      <c r="N39">
        <v>-1.6697713651184849E-3</v>
      </c>
      <c r="O39">
        <v>1.126105932326509</v>
      </c>
      <c r="P39">
        <v>6.3497433612238882E-3</v>
      </c>
    </row>
    <row r="40" spans="1:16" x14ac:dyDescent="0.25">
      <c r="A40" s="5">
        <v>45743</v>
      </c>
      <c r="B40">
        <v>-3.9438892217068369E-4</v>
      </c>
      <c r="C40">
        <v>0.97968896077473133</v>
      </c>
      <c r="D40">
        <v>2.847532785760535E-3</v>
      </c>
      <c r="E40">
        <v>-1.316728674324897E-3</v>
      </c>
      <c r="F40">
        <v>1.1245368356196579</v>
      </c>
      <c r="G40">
        <v>1.6185361631177011E-3</v>
      </c>
      <c r="H40">
        <v>-2.03422461357592E-4</v>
      </c>
      <c r="I40">
        <v>0.96050930989035299</v>
      </c>
      <c r="J40">
        <v>-1.8351835065712101E-3</v>
      </c>
      <c r="K40">
        <v>-9.4516492235521333E-4</v>
      </c>
      <c r="L40">
        <v>0.92883400142879913</v>
      </c>
      <c r="M40">
        <v>6.0212411640411176E-3</v>
      </c>
      <c r="N40">
        <v>-1.6697713651184849E-3</v>
      </c>
      <c r="O40">
        <v>1.126105932326509</v>
      </c>
      <c r="P40">
        <v>-3.649428199302389E-3</v>
      </c>
    </row>
    <row r="41" spans="1:16" x14ac:dyDescent="0.25">
      <c r="A41" s="5">
        <v>45744</v>
      </c>
      <c r="B41">
        <v>-3.9438892217068369E-4</v>
      </c>
      <c r="C41">
        <v>0.97968896077473133</v>
      </c>
      <c r="D41">
        <v>1.8169067367083921E-3</v>
      </c>
      <c r="E41">
        <v>-1.316728674324897E-3</v>
      </c>
      <c r="F41">
        <v>1.1245368356196579</v>
      </c>
      <c r="G41">
        <v>-5.2599298755633362E-3</v>
      </c>
      <c r="H41">
        <v>-2.03422461357592E-4</v>
      </c>
      <c r="I41">
        <v>0.96050930989035299</v>
      </c>
      <c r="J41">
        <v>3.0867262072282421E-3</v>
      </c>
      <c r="K41">
        <v>-9.4516492235521333E-4</v>
      </c>
      <c r="L41">
        <v>0.92883400142879913</v>
      </c>
      <c r="M41">
        <v>-5.6452633455210668E-3</v>
      </c>
      <c r="N41">
        <v>-1.6697713651184849E-3</v>
      </c>
      <c r="O41">
        <v>1.126105932326509</v>
      </c>
      <c r="P41">
        <v>-6.4203152092880168E-3</v>
      </c>
    </row>
    <row r="42" spans="1:16" x14ac:dyDescent="0.25">
      <c r="A42" s="5">
        <v>45747</v>
      </c>
      <c r="B42">
        <v>-3.9438892217068369E-4</v>
      </c>
      <c r="C42">
        <v>0.97968896077473133</v>
      </c>
      <c r="D42">
        <v>2.8555376311872132E-3</v>
      </c>
      <c r="E42">
        <v>-1.316728674324897E-3</v>
      </c>
      <c r="F42">
        <v>1.1245368356196579</v>
      </c>
      <c r="G42">
        <v>-8.745054115246273E-3</v>
      </c>
      <c r="H42">
        <v>-2.03422461357592E-4</v>
      </c>
      <c r="I42">
        <v>0.96050930989035299</v>
      </c>
      <c r="J42">
        <v>4.7676259508139928E-3</v>
      </c>
      <c r="K42">
        <v>-9.4516492235521333E-4</v>
      </c>
      <c r="L42">
        <v>0.92883400142879913</v>
      </c>
      <c r="M42">
        <v>-6.9415053551537785E-4</v>
      </c>
      <c r="N42">
        <v>-1.6697713651184849E-3</v>
      </c>
      <c r="O42">
        <v>1.126105932326509</v>
      </c>
      <c r="P42">
        <v>2.727967064448823E-3</v>
      </c>
    </row>
    <row r="43" spans="1:16" x14ac:dyDescent="0.25">
      <c r="A43" s="5">
        <v>45748</v>
      </c>
      <c r="B43">
        <v>-3.9438892217068369E-4</v>
      </c>
      <c r="C43">
        <v>0.97968896077473133</v>
      </c>
      <c r="D43">
        <v>-2.4560318944979271E-3</v>
      </c>
      <c r="E43">
        <v>-1.316728674324897E-3</v>
      </c>
      <c r="F43">
        <v>1.1245368356196579</v>
      </c>
      <c r="G43">
        <v>-3.0483961207708661E-3</v>
      </c>
      <c r="H43">
        <v>-2.03422461357592E-4</v>
      </c>
      <c r="I43">
        <v>0.96050930989035299</v>
      </c>
      <c r="J43">
        <v>2.9289351981949961E-3</v>
      </c>
      <c r="K43">
        <v>-9.4516492235521333E-4</v>
      </c>
      <c r="L43">
        <v>0.92883400142879913</v>
      </c>
      <c r="M43">
        <v>-7.2292744092495344E-3</v>
      </c>
      <c r="N43">
        <v>-1.6697713651184849E-3</v>
      </c>
      <c r="O43">
        <v>1.126105932326509</v>
      </c>
      <c r="P43">
        <v>-1.8087489667308582E-2</v>
      </c>
    </row>
    <row r="44" spans="1:16" x14ac:dyDescent="0.25">
      <c r="A44" s="5">
        <v>45749</v>
      </c>
      <c r="B44">
        <v>-3.9438892217068369E-4</v>
      </c>
      <c r="C44">
        <v>0.97968896077473133</v>
      </c>
      <c r="D44">
        <v>8.3214961646363656E-4</v>
      </c>
      <c r="E44">
        <v>-1.316728674324897E-3</v>
      </c>
      <c r="F44">
        <v>1.1245368356196579</v>
      </c>
      <c r="G44">
        <v>4.3384200982242316E-3</v>
      </c>
      <c r="H44">
        <v>-2.03422461357592E-4</v>
      </c>
      <c r="I44">
        <v>0.96050930989035299</v>
      </c>
      <c r="J44">
        <v>-1.2401440722578231E-3</v>
      </c>
      <c r="K44">
        <v>-9.4516492235521333E-4</v>
      </c>
      <c r="L44">
        <v>0.92883400142879913</v>
      </c>
      <c r="M44">
        <v>-1.347103044484158E-3</v>
      </c>
      <c r="N44">
        <v>-1.6697713651184849E-3</v>
      </c>
      <c r="O44">
        <v>1.126105932326509</v>
      </c>
      <c r="P44">
        <v>-6.8372559704418475E-4</v>
      </c>
    </row>
    <row r="45" spans="1:16" x14ac:dyDescent="0.25">
      <c r="A45" s="5">
        <v>45750</v>
      </c>
      <c r="B45">
        <v>-3.9438892217068369E-4</v>
      </c>
      <c r="C45">
        <v>0.97968896077473133</v>
      </c>
      <c r="D45">
        <v>-1.8287488931741089E-3</v>
      </c>
      <c r="E45">
        <v>-1.316728674324897E-3</v>
      </c>
      <c r="F45">
        <v>1.1245368356196579</v>
      </c>
      <c r="G45">
        <v>8.1916915168890464E-3</v>
      </c>
      <c r="H45">
        <v>-2.03422461357592E-4</v>
      </c>
      <c r="I45">
        <v>0.96050930989035299</v>
      </c>
      <c r="J45">
        <v>-3.272365971591432E-3</v>
      </c>
      <c r="K45">
        <v>-9.4516492235521333E-4</v>
      </c>
      <c r="L45">
        <v>0.92883400142879913</v>
      </c>
      <c r="M45">
        <v>-1.049287843763166E-3</v>
      </c>
      <c r="N45">
        <v>-1.6697713651184849E-3</v>
      </c>
      <c r="O45">
        <v>1.126105932326509</v>
      </c>
      <c r="P45">
        <v>7.9537132709465719E-3</v>
      </c>
    </row>
    <row r="46" spans="1:16" x14ac:dyDescent="0.25">
      <c r="A46" s="5">
        <v>45751</v>
      </c>
      <c r="B46">
        <v>-3.9438892217068369E-4</v>
      </c>
      <c r="C46">
        <v>0.97968896077473133</v>
      </c>
      <c r="D46">
        <v>-1.9212601591796542E-2</v>
      </c>
      <c r="E46">
        <v>-1.316728674324897E-3</v>
      </c>
      <c r="F46">
        <v>1.1245368356196579</v>
      </c>
      <c r="G46">
        <v>-2.3411748586405028E-2</v>
      </c>
      <c r="H46">
        <v>-2.03422461357592E-4</v>
      </c>
      <c r="I46">
        <v>0.96050930989035299</v>
      </c>
      <c r="J46">
        <v>1.379722617066592E-2</v>
      </c>
      <c r="K46">
        <v>-9.4516492235521333E-4</v>
      </c>
      <c r="L46">
        <v>0.92883400142879913</v>
      </c>
      <c r="M46">
        <v>-2.751700398165597E-3</v>
      </c>
      <c r="N46">
        <v>-1.6697713651184849E-3</v>
      </c>
      <c r="O46">
        <v>1.126105932326509</v>
      </c>
      <c r="P46">
        <v>-1.9567887153393131E-2</v>
      </c>
    </row>
    <row r="47" spans="1:16" x14ac:dyDescent="0.25">
      <c r="A47" s="5">
        <v>45755</v>
      </c>
      <c r="B47">
        <v>-3.9438892217068369E-4</v>
      </c>
      <c r="C47">
        <v>0.97968896077473133</v>
      </c>
      <c r="D47">
        <v>-5.7345415175044656E-4</v>
      </c>
      <c r="E47">
        <v>-1.316728674324897E-3</v>
      </c>
      <c r="F47">
        <v>1.1245368356196579</v>
      </c>
      <c r="G47">
        <v>5.991878230670683E-3</v>
      </c>
      <c r="H47">
        <v>-2.03422461357592E-4</v>
      </c>
      <c r="I47">
        <v>0.96050930989035299</v>
      </c>
      <c r="J47">
        <v>-3.0683514294264501E-3</v>
      </c>
      <c r="K47">
        <v>-9.4516492235521333E-4</v>
      </c>
      <c r="L47">
        <v>0.92883400142879913</v>
      </c>
      <c r="M47">
        <v>-4.3834882738165443E-4</v>
      </c>
      <c r="N47">
        <v>-1.6697713651184849E-3</v>
      </c>
      <c r="O47">
        <v>1.126105932326509</v>
      </c>
      <c r="P47">
        <v>6.2666333902808014E-3</v>
      </c>
    </row>
    <row r="48" spans="1:16" x14ac:dyDescent="0.25">
      <c r="A48" s="5">
        <v>45756</v>
      </c>
      <c r="B48">
        <v>-3.9438892217068369E-4</v>
      </c>
      <c r="C48">
        <v>0.97968896077473133</v>
      </c>
      <c r="D48">
        <v>-1.857678370774379E-2</v>
      </c>
      <c r="E48">
        <v>-1.316728674324897E-3</v>
      </c>
      <c r="F48">
        <v>1.1245368356196579</v>
      </c>
      <c r="G48">
        <v>-2.6364533036059689E-2</v>
      </c>
      <c r="H48">
        <v>-2.03422461357592E-4</v>
      </c>
      <c r="I48">
        <v>0.96050930989035299</v>
      </c>
      <c r="J48">
        <v>4.579122372381398E-3</v>
      </c>
      <c r="K48">
        <v>-9.4516492235521333E-4</v>
      </c>
      <c r="L48">
        <v>0.92883400142879913</v>
      </c>
      <c r="M48">
        <v>-1.2819888907976151E-2</v>
      </c>
      <c r="N48">
        <v>-1.6697713651184849E-3</v>
      </c>
      <c r="O48">
        <v>1.126105932326509</v>
      </c>
      <c r="P48">
        <v>-1.6309249230277972E-2</v>
      </c>
    </row>
    <row r="49" spans="1:16" x14ac:dyDescent="0.25">
      <c r="A49" s="5">
        <v>45757</v>
      </c>
      <c r="B49">
        <v>-3.9438892217068369E-4</v>
      </c>
      <c r="C49">
        <v>0.97968896077473133</v>
      </c>
      <c r="D49">
        <v>2.3499110225178449E-3</v>
      </c>
      <c r="E49">
        <v>-1.316728674324897E-3</v>
      </c>
      <c r="F49">
        <v>1.1245368356196579</v>
      </c>
      <c r="G49">
        <v>-6.651935123305544E-3</v>
      </c>
      <c r="H49">
        <v>-2.03422461357592E-4</v>
      </c>
      <c r="I49">
        <v>0.96050930989035299</v>
      </c>
      <c r="J49">
        <v>3.969071969271612E-3</v>
      </c>
      <c r="K49">
        <v>-9.4516492235521333E-4</v>
      </c>
      <c r="L49">
        <v>0.92883400142879913</v>
      </c>
      <c r="M49">
        <v>4.8913717071398591E-3</v>
      </c>
      <c r="N49">
        <v>-1.6697713651184849E-3</v>
      </c>
      <c r="O49">
        <v>1.126105932326509</v>
      </c>
      <c r="P49">
        <v>-7.4084079761755767E-3</v>
      </c>
    </row>
    <row r="50" spans="1:16" x14ac:dyDescent="0.25">
      <c r="A50" s="5">
        <v>45758</v>
      </c>
      <c r="B50">
        <v>-3.9438892217068369E-4</v>
      </c>
      <c r="C50">
        <v>0.97968896077473133</v>
      </c>
      <c r="D50">
        <v>-8.133517467012151E-3</v>
      </c>
      <c r="E50">
        <v>-1.316728674324897E-3</v>
      </c>
      <c r="F50">
        <v>1.1245368356196579</v>
      </c>
      <c r="G50">
        <v>5.0660567119631267E-3</v>
      </c>
      <c r="H50">
        <v>-2.03422461357592E-4</v>
      </c>
      <c r="I50">
        <v>0.96050930989035299</v>
      </c>
      <c r="J50">
        <v>2.4348244346825698E-3</v>
      </c>
      <c r="K50">
        <v>-9.4516492235521333E-4</v>
      </c>
      <c r="L50">
        <v>0.92883400142879913</v>
      </c>
      <c r="M50">
        <v>-1.7947203637960691E-3</v>
      </c>
      <c r="N50">
        <v>-1.6697713651184849E-3</v>
      </c>
      <c r="O50">
        <v>1.126105932326509</v>
      </c>
      <c r="P50">
        <v>1.080299841070863E-2</v>
      </c>
    </row>
    <row r="51" spans="1:16" x14ac:dyDescent="0.25">
      <c r="A51" s="5">
        <v>45761</v>
      </c>
      <c r="B51">
        <v>-3.9438892217068369E-4</v>
      </c>
      <c r="C51">
        <v>0.97968896077473133</v>
      </c>
      <c r="D51">
        <v>4.8424933019319983E-3</v>
      </c>
      <c r="E51">
        <v>-1.316728674324897E-3</v>
      </c>
      <c r="F51">
        <v>1.1245368356196579</v>
      </c>
      <c r="G51">
        <v>2.0109744696173409E-2</v>
      </c>
      <c r="H51">
        <v>-2.03422461357592E-4</v>
      </c>
      <c r="I51">
        <v>0.96050930989035299</v>
      </c>
      <c r="J51">
        <v>-1.378191590126005E-2</v>
      </c>
      <c r="K51">
        <v>-9.4516492235521333E-4</v>
      </c>
      <c r="L51">
        <v>0.92883400142879913</v>
      </c>
      <c r="M51">
        <v>4.9907870901314752E-3</v>
      </c>
      <c r="N51">
        <v>-1.6697713651184849E-3</v>
      </c>
      <c r="O51">
        <v>1.126105932326509</v>
      </c>
      <c r="P51">
        <v>3.3215418856786437E-2</v>
      </c>
    </row>
    <row r="52" spans="1:16" x14ac:dyDescent="0.25">
      <c r="A52" s="5">
        <v>45762</v>
      </c>
      <c r="B52">
        <v>-3.9438892217068369E-4</v>
      </c>
      <c r="C52">
        <v>0.97968896077473133</v>
      </c>
      <c r="D52">
        <v>1.7959859251237E-3</v>
      </c>
      <c r="E52">
        <v>-1.316728674324897E-3</v>
      </c>
      <c r="F52">
        <v>1.1245368356196579</v>
      </c>
      <c r="G52">
        <v>1.7208122199024751E-2</v>
      </c>
      <c r="H52">
        <v>-2.03422461357592E-4</v>
      </c>
      <c r="I52">
        <v>0.96050930989035299</v>
      </c>
      <c r="J52">
        <v>-6.122252566893107E-3</v>
      </c>
      <c r="K52">
        <v>-9.4516492235521333E-4</v>
      </c>
      <c r="L52">
        <v>0.92883400142879913</v>
      </c>
      <c r="M52">
        <v>-2.0208419164930569E-4</v>
      </c>
      <c r="N52">
        <v>-1.6697713651184849E-3</v>
      </c>
      <c r="O52">
        <v>1.126105932326509</v>
      </c>
      <c r="P52">
        <v>9.047762509263613E-3</v>
      </c>
    </row>
    <row r="53" spans="1:16" x14ac:dyDescent="0.25">
      <c r="A53" s="5">
        <v>45763</v>
      </c>
      <c r="B53">
        <v>-3.9438892217068369E-4</v>
      </c>
      <c r="C53">
        <v>0.97968896077473133</v>
      </c>
      <c r="D53">
        <v>5.922569272172858E-3</v>
      </c>
      <c r="E53">
        <v>-1.316728674324897E-3</v>
      </c>
      <c r="F53">
        <v>1.1245368356196579</v>
      </c>
      <c r="G53">
        <v>2.8855048279426781E-3</v>
      </c>
      <c r="H53">
        <v>-2.03422461357592E-4</v>
      </c>
      <c r="I53">
        <v>0.96050930989035299</v>
      </c>
      <c r="J53">
        <v>9.284575829918814E-3</v>
      </c>
      <c r="K53">
        <v>-9.4516492235521333E-4</v>
      </c>
      <c r="L53">
        <v>0.92883400142879913</v>
      </c>
      <c r="M53">
        <v>-1.9475351929462359E-4</v>
      </c>
      <c r="N53">
        <v>-1.6697713651184849E-3</v>
      </c>
      <c r="O53">
        <v>1.126105932326509</v>
      </c>
      <c r="P53">
        <v>3.9207232018890568E-3</v>
      </c>
    </row>
    <row r="54" spans="1:16" x14ac:dyDescent="0.25">
      <c r="A54" s="5">
        <v>45764</v>
      </c>
      <c r="B54">
        <v>-3.9438892217068369E-4</v>
      </c>
      <c r="C54">
        <v>0.97968896077473133</v>
      </c>
      <c r="D54">
        <v>1.6017738072775092E-2</v>
      </c>
      <c r="E54">
        <v>-1.316728674324897E-3</v>
      </c>
      <c r="F54">
        <v>1.1245368356196579</v>
      </c>
      <c r="G54">
        <v>-4.7643460484995542E-3</v>
      </c>
      <c r="H54">
        <v>-2.03422461357592E-4</v>
      </c>
      <c r="I54">
        <v>0.96050930989035299</v>
      </c>
      <c r="J54">
        <v>-7.6569425966478352E-4</v>
      </c>
      <c r="K54">
        <v>-9.4516492235521333E-4</v>
      </c>
      <c r="L54">
        <v>0.92883400142879913</v>
      </c>
      <c r="M54">
        <v>-5.6986951273896302E-4</v>
      </c>
      <c r="N54">
        <v>-1.6697713651184849E-3</v>
      </c>
      <c r="O54">
        <v>1.126105932326509</v>
      </c>
      <c r="P54">
        <v>-3.235771717635037E-3</v>
      </c>
    </row>
    <row r="55" spans="1:16" x14ac:dyDescent="0.25">
      <c r="A55" s="5">
        <v>45765</v>
      </c>
      <c r="B55">
        <v>-3.9438892217068369E-4</v>
      </c>
      <c r="C55">
        <v>0.97968896077473133</v>
      </c>
      <c r="D55">
        <v>9.2149842116600756E-3</v>
      </c>
      <c r="E55">
        <v>-1.316728674324897E-3</v>
      </c>
      <c r="F55">
        <v>1.1245368356196579</v>
      </c>
      <c r="G55">
        <v>3.7504059383410252E-3</v>
      </c>
      <c r="H55">
        <v>-2.03422461357592E-4</v>
      </c>
      <c r="I55">
        <v>0.96050930989035299</v>
      </c>
      <c r="J55">
        <v>1.031575789443257E-2</v>
      </c>
      <c r="K55">
        <v>-9.4516492235521333E-4</v>
      </c>
      <c r="L55">
        <v>0.92883400142879913</v>
      </c>
      <c r="M55">
        <v>1.4282668445726289E-2</v>
      </c>
      <c r="N55">
        <v>-1.6697713651184849E-3</v>
      </c>
      <c r="O55">
        <v>1.126105932326509</v>
      </c>
      <c r="P55">
        <v>5.1565847542791414E-3</v>
      </c>
    </row>
    <row r="56" spans="1:16" x14ac:dyDescent="0.25">
      <c r="A56" s="5">
        <v>45768</v>
      </c>
      <c r="B56">
        <v>-3.9438892217068369E-4</v>
      </c>
      <c r="C56">
        <v>0.97968896077473133</v>
      </c>
      <c r="D56">
        <v>2.3504907236956501E-3</v>
      </c>
      <c r="E56">
        <v>-1.316728674324897E-3</v>
      </c>
      <c r="F56">
        <v>1.1245368356196579</v>
      </c>
      <c r="G56">
        <v>-3.651449881316389E-3</v>
      </c>
      <c r="H56">
        <v>-2.03422461357592E-4</v>
      </c>
      <c r="I56">
        <v>0.96050930989035299</v>
      </c>
      <c r="J56">
        <v>2.625802752270871E-3</v>
      </c>
      <c r="K56">
        <v>-9.4516492235521333E-4</v>
      </c>
      <c r="L56">
        <v>0.92883400142879913</v>
      </c>
      <c r="M56">
        <v>9.7022232806901008E-3</v>
      </c>
      <c r="N56">
        <v>-1.6697713651184849E-3</v>
      </c>
      <c r="O56">
        <v>1.126105932326509</v>
      </c>
      <c r="P56">
        <v>1.1960261084040321E-3</v>
      </c>
    </row>
    <row r="57" spans="1:16" x14ac:dyDescent="0.25">
      <c r="A57" s="5">
        <v>45769</v>
      </c>
      <c r="B57">
        <v>-3.9438892217068369E-4</v>
      </c>
      <c r="C57">
        <v>0.97968896077473133</v>
      </c>
      <c r="D57">
        <v>-1.126699671428984E-2</v>
      </c>
      <c r="E57">
        <v>-1.316728674324897E-3</v>
      </c>
      <c r="F57">
        <v>1.1245368356196579</v>
      </c>
      <c r="G57">
        <v>3.8949382817914822E-3</v>
      </c>
      <c r="H57">
        <v>-2.03422461357592E-4</v>
      </c>
      <c r="I57">
        <v>0.96050930989035299</v>
      </c>
      <c r="J57">
        <v>1.2000227979067301E-3</v>
      </c>
      <c r="K57">
        <v>-9.4516492235521333E-4</v>
      </c>
      <c r="L57">
        <v>0.92883400142879913</v>
      </c>
      <c r="M57">
        <v>3.3704693737751481E-3</v>
      </c>
      <c r="N57">
        <v>-1.6697713651184849E-3</v>
      </c>
      <c r="O57">
        <v>1.126105932326509</v>
      </c>
      <c r="P57">
        <v>2.5482862901615971E-2</v>
      </c>
    </row>
    <row r="58" spans="1:16" x14ac:dyDescent="0.25">
      <c r="A58" s="5">
        <v>45770</v>
      </c>
      <c r="B58">
        <v>-3.9438892217068369E-4</v>
      </c>
      <c r="C58">
        <v>0.97968896077473133</v>
      </c>
      <c r="D58">
        <v>1.0564889450781609E-2</v>
      </c>
      <c r="E58">
        <v>-1.316728674324897E-3</v>
      </c>
      <c r="F58">
        <v>1.1245368356196579</v>
      </c>
      <c r="G58">
        <v>1.285929684827407E-2</v>
      </c>
      <c r="H58">
        <v>-2.03422461357592E-4</v>
      </c>
      <c r="I58">
        <v>0.96050930989035299</v>
      </c>
      <c r="J58">
        <v>-2.3845495405397099E-3</v>
      </c>
      <c r="K58">
        <v>-9.4516492235521333E-4</v>
      </c>
      <c r="L58">
        <v>0.92883400142879913</v>
      </c>
      <c r="M58">
        <v>4.9268657742853588E-3</v>
      </c>
      <c r="N58">
        <v>-1.6697713651184849E-3</v>
      </c>
      <c r="O58">
        <v>1.126105932326509</v>
      </c>
      <c r="P58">
        <v>1.527577455474919E-2</v>
      </c>
    </row>
    <row r="59" spans="1:16" x14ac:dyDescent="0.25">
      <c r="A59" s="5">
        <v>45771</v>
      </c>
      <c r="B59">
        <v>-3.9438892217068369E-4</v>
      </c>
      <c r="C59">
        <v>0.97968896077473133</v>
      </c>
      <c r="D59">
        <v>7.0581854664194046E-4</v>
      </c>
      <c r="E59">
        <v>-1.316728674324897E-3</v>
      </c>
      <c r="F59">
        <v>1.1245368356196579</v>
      </c>
      <c r="G59">
        <v>-5.2969640571620151E-3</v>
      </c>
      <c r="H59">
        <v>-2.03422461357592E-4</v>
      </c>
      <c r="I59">
        <v>0.96050930989035299</v>
      </c>
      <c r="J59">
        <v>-1.106142627078403E-2</v>
      </c>
      <c r="K59">
        <v>-9.4516492235521333E-4</v>
      </c>
      <c r="L59">
        <v>0.92883400142879913</v>
      </c>
      <c r="M59">
        <v>-2.837150989894479E-3</v>
      </c>
      <c r="N59">
        <v>-1.6697713651184849E-3</v>
      </c>
      <c r="O59">
        <v>1.126105932326509</v>
      </c>
      <c r="P59">
        <v>6.6675658635825322E-3</v>
      </c>
    </row>
    <row r="60" spans="1:16" x14ac:dyDescent="0.25">
      <c r="A60" s="5">
        <v>45772</v>
      </c>
      <c r="B60">
        <v>-3.9438892217068369E-4</v>
      </c>
      <c r="C60">
        <v>0.97968896077473133</v>
      </c>
      <c r="D60">
        <v>1.292075558872883E-2</v>
      </c>
      <c r="E60">
        <v>-1.316728674324897E-3</v>
      </c>
      <c r="F60">
        <v>1.1245368356196579</v>
      </c>
      <c r="G60">
        <v>-1.932132388444942E-3</v>
      </c>
      <c r="H60">
        <v>-2.03422461357592E-4</v>
      </c>
      <c r="I60">
        <v>0.96050930989035299</v>
      </c>
      <c r="J60">
        <v>-1.13840374537496E-2</v>
      </c>
      <c r="K60">
        <v>-9.4516492235521333E-4</v>
      </c>
      <c r="L60">
        <v>0.92883400142879913</v>
      </c>
      <c r="M60">
        <v>1.877860663111788E-2</v>
      </c>
      <c r="N60">
        <v>-1.6697713651184849E-3</v>
      </c>
      <c r="O60">
        <v>1.126105932326509</v>
      </c>
      <c r="P60">
        <v>-1.066126407951408E-3</v>
      </c>
    </row>
    <row r="61" spans="1:16" x14ac:dyDescent="0.25">
      <c r="A61" s="5">
        <v>45775</v>
      </c>
      <c r="B61">
        <v>-3.9438892217068369E-4</v>
      </c>
      <c r="C61">
        <v>0.97968896077473133</v>
      </c>
      <c r="D61">
        <v>-3.498966942111657E-3</v>
      </c>
      <c r="E61">
        <v>-1.316728674324897E-3</v>
      </c>
      <c r="F61">
        <v>1.1245368356196579</v>
      </c>
      <c r="G61">
        <v>4.548407316468263E-3</v>
      </c>
      <c r="H61">
        <v>-2.03422461357592E-4</v>
      </c>
      <c r="I61">
        <v>0.96050930989035299</v>
      </c>
      <c r="J61">
        <v>7.4381963157147636E-3</v>
      </c>
      <c r="K61">
        <v>-9.4516492235521333E-4</v>
      </c>
      <c r="L61">
        <v>0.92883400142879913</v>
      </c>
      <c r="M61">
        <v>3.753210318419597E-3</v>
      </c>
      <c r="N61">
        <v>-1.6697713651184849E-3</v>
      </c>
      <c r="O61">
        <v>1.126105932326509</v>
      </c>
      <c r="P61">
        <v>1.1318747237467879E-2</v>
      </c>
    </row>
    <row r="62" spans="1:16" x14ac:dyDescent="0.25">
      <c r="A62" s="5">
        <v>45776</v>
      </c>
      <c r="B62">
        <v>-3.9438892217068369E-4</v>
      </c>
      <c r="C62">
        <v>0.97968896077473133</v>
      </c>
      <c r="D62">
        <v>4.5232812669020088E-3</v>
      </c>
      <c r="E62">
        <v>-1.316728674324897E-3</v>
      </c>
      <c r="F62">
        <v>1.1245368356196579</v>
      </c>
      <c r="G62">
        <v>-1.846062587607638E-3</v>
      </c>
      <c r="H62">
        <v>-2.03422461357592E-4</v>
      </c>
      <c r="I62">
        <v>0.96050930989035299</v>
      </c>
      <c r="J62">
        <v>-1.0252520725017721E-3</v>
      </c>
      <c r="K62">
        <v>-9.4516492235521333E-4</v>
      </c>
      <c r="L62">
        <v>0.92883400142879913</v>
      </c>
      <c r="M62">
        <v>1.027536480925715E-4</v>
      </c>
      <c r="N62">
        <v>-1.6697713651184849E-3</v>
      </c>
      <c r="O62">
        <v>1.126105932326509</v>
      </c>
      <c r="P62">
        <v>3.8374835582776572E-3</v>
      </c>
    </row>
    <row r="63" spans="1:16" x14ac:dyDescent="0.25">
      <c r="A63" s="5">
        <v>45782</v>
      </c>
      <c r="B63">
        <v>-3.9438892217068369E-4</v>
      </c>
      <c r="C63">
        <v>0.97968896077473133</v>
      </c>
      <c r="D63">
        <v>2.6460011945381799E-2</v>
      </c>
      <c r="E63">
        <v>-1.316728674324897E-3</v>
      </c>
      <c r="F63">
        <v>1.1245368356196579</v>
      </c>
      <c r="G63">
        <v>7.3002042983617618E-3</v>
      </c>
      <c r="H63">
        <v>-2.03422461357592E-4</v>
      </c>
      <c r="I63">
        <v>0.96050930989035299</v>
      </c>
      <c r="J63">
        <v>-6.6201525564147917E-3</v>
      </c>
      <c r="K63">
        <v>-9.4516492235521333E-4</v>
      </c>
      <c r="L63">
        <v>0.92883400142879913</v>
      </c>
      <c r="M63">
        <v>-1.061764801777193E-2</v>
      </c>
      <c r="N63">
        <v>-1.6697713651184849E-3</v>
      </c>
      <c r="O63">
        <v>1.126105932326509</v>
      </c>
      <c r="P63">
        <v>-5.2477621296812254E-3</v>
      </c>
    </row>
    <row r="64" spans="1:16" x14ac:dyDescent="0.25">
      <c r="A64" s="5">
        <v>45783</v>
      </c>
      <c r="B64">
        <v>-3.9438892217068369E-4</v>
      </c>
      <c r="C64">
        <v>0.97968896077473133</v>
      </c>
      <c r="D64">
        <v>-2.0858425812896649E-3</v>
      </c>
      <c r="E64">
        <v>-1.316728674324897E-3</v>
      </c>
      <c r="F64">
        <v>1.1245368356196579</v>
      </c>
      <c r="G64">
        <v>-9.0132378624072414E-3</v>
      </c>
      <c r="H64">
        <v>-2.03422461357592E-4</v>
      </c>
      <c r="I64">
        <v>0.96050930989035299</v>
      </c>
      <c r="J64">
        <v>-1.837794421960266E-3</v>
      </c>
      <c r="K64">
        <v>-9.4516492235521333E-4</v>
      </c>
      <c r="L64">
        <v>0.92883400142879913</v>
      </c>
      <c r="M64">
        <v>-5.3322442398753373E-3</v>
      </c>
      <c r="N64">
        <v>-1.6697713651184849E-3</v>
      </c>
      <c r="O64">
        <v>1.126105932326509</v>
      </c>
      <c r="P64">
        <v>3.4251345911518339E-3</v>
      </c>
    </row>
    <row r="65" spans="1:16" x14ac:dyDescent="0.25">
      <c r="A65" s="5">
        <v>45784</v>
      </c>
      <c r="B65">
        <v>-3.9438892217068369E-4</v>
      </c>
      <c r="C65">
        <v>0.97968896077473133</v>
      </c>
      <c r="D65">
        <v>-1.7419334418328561E-4</v>
      </c>
      <c r="E65">
        <v>-1.316728674324897E-3</v>
      </c>
      <c r="F65">
        <v>1.1245368356196579</v>
      </c>
      <c r="G65">
        <v>-6.4076165963272867E-3</v>
      </c>
      <c r="H65">
        <v>-2.03422461357592E-4</v>
      </c>
      <c r="I65">
        <v>0.96050930989035299</v>
      </c>
      <c r="J65">
        <v>-6.6831956599441283E-3</v>
      </c>
      <c r="K65">
        <v>-9.4516492235521333E-4</v>
      </c>
      <c r="L65">
        <v>0.92883400142879913</v>
      </c>
      <c r="M65">
        <v>-7.0387007995840918E-3</v>
      </c>
      <c r="N65">
        <v>-1.6697713651184849E-3</v>
      </c>
      <c r="O65">
        <v>1.126105932326509</v>
      </c>
      <c r="P65">
        <v>-9.4507400744162067E-3</v>
      </c>
    </row>
    <row r="66" spans="1:16" x14ac:dyDescent="0.25">
      <c r="A66" s="5">
        <v>45785</v>
      </c>
      <c r="B66">
        <v>-3.9438892217068369E-4</v>
      </c>
      <c r="C66">
        <v>0.97968896077473133</v>
      </c>
      <c r="D66">
        <v>-6.4284084888383951E-3</v>
      </c>
      <c r="E66">
        <v>-1.316728674324897E-3</v>
      </c>
      <c r="F66">
        <v>1.1245368356196579</v>
      </c>
      <c r="G66">
        <v>-4.8886825655554264E-3</v>
      </c>
      <c r="H66">
        <v>-2.03422461357592E-4</v>
      </c>
      <c r="I66">
        <v>0.96050930989035299</v>
      </c>
      <c r="J66">
        <v>-1.845915298656959E-3</v>
      </c>
      <c r="K66">
        <v>-9.4516492235521333E-4</v>
      </c>
      <c r="L66">
        <v>0.92883400142879913</v>
      </c>
      <c r="M66">
        <v>-1.0482614697522421E-3</v>
      </c>
      <c r="N66">
        <v>-1.6697713651184849E-3</v>
      </c>
      <c r="O66">
        <v>1.126105932326509</v>
      </c>
      <c r="P66">
        <v>-1.278176078866047E-2</v>
      </c>
    </row>
    <row r="67" spans="1:16" x14ac:dyDescent="0.25">
      <c r="A67" s="5">
        <v>45786</v>
      </c>
      <c r="B67">
        <v>-3.9438892217068369E-4</v>
      </c>
      <c r="C67">
        <v>0.97968896077473133</v>
      </c>
      <c r="D67">
        <v>1.056783794663977E-2</v>
      </c>
      <c r="E67">
        <v>-1.316728674324897E-3</v>
      </c>
      <c r="F67">
        <v>1.1245368356196579</v>
      </c>
      <c r="G67">
        <v>7.9247990076335194E-4</v>
      </c>
      <c r="H67">
        <v>-2.03422461357592E-4</v>
      </c>
      <c r="I67">
        <v>0.96050930989035299</v>
      </c>
      <c r="J67">
        <v>5.5200677492381334E-3</v>
      </c>
      <c r="K67">
        <v>-9.4516492235521333E-4</v>
      </c>
      <c r="L67">
        <v>0.92883400142879913</v>
      </c>
      <c r="M67">
        <v>4.3270482700272896E-3</v>
      </c>
      <c r="N67">
        <v>-1.6697713651184849E-3</v>
      </c>
      <c r="O67">
        <v>1.126105932326509</v>
      </c>
      <c r="P67">
        <v>1.1165285460184259E-2</v>
      </c>
    </row>
    <row r="68" spans="1:16" x14ac:dyDescent="0.25">
      <c r="A68" s="5">
        <v>45789</v>
      </c>
      <c r="B68">
        <v>-3.9438892217068369E-4</v>
      </c>
      <c r="C68">
        <v>0.97968896077473133</v>
      </c>
      <c r="D68">
        <v>-1.690366413143941E-2</v>
      </c>
      <c r="E68">
        <v>-1.316728674324897E-3</v>
      </c>
      <c r="F68">
        <v>1.1245368356196579</v>
      </c>
      <c r="G68">
        <v>-1.507677536881423E-2</v>
      </c>
      <c r="H68">
        <v>-2.03422461357592E-4</v>
      </c>
      <c r="I68">
        <v>0.96050930989035299</v>
      </c>
      <c r="J68">
        <v>6.2959550883641344E-3</v>
      </c>
      <c r="K68">
        <v>-9.4516492235521333E-4</v>
      </c>
      <c r="L68">
        <v>0.92883400142879913</v>
      </c>
      <c r="M68">
        <v>-7.1514261611153552E-3</v>
      </c>
      <c r="N68">
        <v>-1.6697713651184849E-3</v>
      </c>
      <c r="O68">
        <v>1.126105932326509</v>
      </c>
      <c r="P68">
        <v>-1.043958385310607E-3</v>
      </c>
    </row>
    <row r="69" spans="1:16" x14ac:dyDescent="0.25">
      <c r="A69" s="5">
        <v>45790</v>
      </c>
      <c r="B69">
        <v>-3.9438892217068369E-4</v>
      </c>
      <c r="C69">
        <v>0.97968896077473133</v>
      </c>
      <c r="D69">
        <v>-7.8971878356407718E-3</v>
      </c>
      <c r="E69">
        <v>-1.316728674324897E-3</v>
      </c>
      <c r="F69">
        <v>1.1245368356196579</v>
      </c>
      <c r="G69">
        <v>2.9418589556221E-3</v>
      </c>
      <c r="H69">
        <v>-2.03422461357592E-4</v>
      </c>
      <c r="I69">
        <v>0.96050930989035299</v>
      </c>
      <c r="J69">
        <v>-6.1898252096051487E-4</v>
      </c>
      <c r="K69">
        <v>-9.4516492235521333E-4</v>
      </c>
      <c r="L69">
        <v>0.92883400142879913</v>
      </c>
      <c r="M69">
        <v>-1.53227716694379E-3</v>
      </c>
      <c r="N69">
        <v>-1.6697713651184849E-3</v>
      </c>
      <c r="O69">
        <v>1.126105932326509</v>
      </c>
      <c r="P69">
        <v>2.928310767468258E-2</v>
      </c>
    </row>
    <row r="70" spans="1:16" x14ac:dyDescent="0.25">
      <c r="A70" s="5">
        <v>45791</v>
      </c>
      <c r="B70">
        <v>-3.9438892217068369E-4</v>
      </c>
      <c r="C70">
        <v>0.97968896077473133</v>
      </c>
      <c r="D70">
        <v>-1.4507543949575751E-2</v>
      </c>
      <c r="E70">
        <v>-1.316728674324897E-3</v>
      </c>
      <c r="F70">
        <v>1.1245368356196579</v>
      </c>
      <c r="G70">
        <v>-2.1822105863406049E-4</v>
      </c>
      <c r="H70">
        <v>-2.03422461357592E-4</v>
      </c>
      <c r="I70">
        <v>0.96050930989035299</v>
      </c>
      <c r="J70">
        <v>3.6906901032192469E-3</v>
      </c>
      <c r="K70">
        <v>-9.4516492235521333E-4</v>
      </c>
      <c r="L70">
        <v>0.92883400142879913</v>
      </c>
      <c r="M70">
        <v>-2.1430537003109151E-2</v>
      </c>
      <c r="N70">
        <v>-1.6697713651184849E-3</v>
      </c>
      <c r="O70">
        <v>1.126105932326509</v>
      </c>
      <c r="P70">
        <v>1.522106743310853E-3</v>
      </c>
    </row>
    <row r="71" spans="1:16" x14ac:dyDescent="0.25">
      <c r="A71" s="5">
        <v>45792</v>
      </c>
      <c r="B71">
        <v>-3.9438892217068369E-4</v>
      </c>
      <c r="C71">
        <v>0.97968896077473133</v>
      </c>
      <c r="D71">
        <v>7.0538611716587261E-3</v>
      </c>
      <c r="E71">
        <v>-1.316728674324897E-3</v>
      </c>
      <c r="F71">
        <v>1.1245368356196579</v>
      </c>
      <c r="G71">
        <v>-1.787278319298363E-4</v>
      </c>
      <c r="H71">
        <v>-2.03422461357592E-4</v>
      </c>
      <c r="I71">
        <v>0.96050930989035299</v>
      </c>
      <c r="J71">
        <v>1.166480698189197E-2</v>
      </c>
      <c r="K71">
        <v>-9.4516492235521333E-4</v>
      </c>
      <c r="L71">
        <v>0.92883400142879913</v>
      </c>
      <c r="M71">
        <v>2.3808820214803032E-3</v>
      </c>
      <c r="N71">
        <v>-1.6697713651184849E-3</v>
      </c>
      <c r="O71">
        <v>1.126105932326509</v>
      </c>
      <c r="P71">
        <v>-2.2218624518660132E-3</v>
      </c>
    </row>
    <row r="72" spans="1:16" x14ac:dyDescent="0.25">
      <c r="A72" s="5">
        <v>45793</v>
      </c>
      <c r="B72">
        <v>-3.9438892217068369E-4</v>
      </c>
      <c r="C72">
        <v>0.97968896077473133</v>
      </c>
      <c r="D72">
        <v>2.2839225594914279E-2</v>
      </c>
      <c r="E72">
        <v>-1.316728674324897E-3</v>
      </c>
      <c r="F72">
        <v>1.1245368356196579</v>
      </c>
      <c r="G72">
        <v>1.5042188653877769E-3</v>
      </c>
      <c r="H72">
        <v>-2.03422461357592E-4</v>
      </c>
      <c r="I72">
        <v>0.96050930989035299</v>
      </c>
      <c r="J72">
        <v>-6.9761188345882873E-3</v>
      </c>
      <c r="K72">
        <v>-9.4516492235521333E-4</v>
      </c>
      <c r="L72">
        <v>0.92883400142879913</v>
      </c>
      <c r="M72">
        <v>2.9893795869044611E-3</v>
      </c>
      <c r="N72">
        <v>-1.6697713651184849E-3</v>
      </c>
      <c r="O72">
        <v>1.126105932326509</v>
      </c>
      <c r="P72">
        <v>-2.788795814880379E-3</v>
      </c>
    </row>
    <row r="73" spans="1:16" x14ac:dyDescent="0.25">
      <c r="A73" s="5">
        <v>45796</v>
      </c>
      <c r="B73">
        <v>-3.9438892217068369E-4</v>
      </c>
      <c r="C73">
        <v>0.97968896077473133</v>
      </c>
      <c r="D73">
        <v>-6.4855861172397429E-3</v>
      </c>
      <c r="E73">
        <v>-1.316728674324897E-3</v>
      </c>
      <c r="F73">
        <v>1.1245368356196579</v>
      </c>
      <c r="G73">
        <v>-4.1141227216941779E-3</v>
      </c>
      <c r="H73">
        <v>-2.03422461357592E-4</v>
      </c>
      <c r="I73">
        <v>0.96050930989035299</v>
      </c>
      <c r="J73">
        <v>-1.1553286996689579E-2</v>
      </c>
      <c r="K73">
        <v>-9.4516492235521333E-4</v>
      </c>
      <c r="L73">
        <v>0.92883400142879913</v>
      </c>
      <c r="M73">
        <v>-4.6602753956469468E-3</v>
      </c>
      <c r="N73">
        <v>-1.6697713651184849E-3</v>
      </c>
      <c r="O73">
        <v>1.126105932326509</v>
      </c>
      <c r="P73">
        <v>2.694417196530166E-3</v>
      </c>
    </row>
    <row r="74" spans="1:16" x14ac:dyDescent="0.25">
      <c r="A74" s="5">
        <v>45797</v>
      </c>
      <c r="B74">
        <v>-3.9438892217068369E-4</v>
      </c>
      <c r="C74">
        <v>0.97968896077473133</v>
      </c>
      <c r="D74">
        <v>-3.3810651741500012E-3</v>
      </c>
      <c r="E74">
        <v>-1.316728674324897E-3</v>
      </c>
      <c r="F74">
        <v>1.1245368356196579</v>
      </c>
      <c r="G74">
        <v>-1.3158037053092859E-2</v>
      </c>
      <c r="H74">
        <v>-2.03422461357592E-4</v>
      </c>
      <c r="I74">
        <v>0.96050930989035299</v>
      </c>
      <c r="J74">
        <v>2.5679437385029037E-4</v>
      </c>
      <c r="K74">
        <v>-9.4516492235521333E-4</v>
      </c>
      <c r="L74">
        <v>0.92883400142879913</v>
      </c>
      <c r="M74">
        <v>-4.4995458899460689E-3</v>
      </c>
      <c r="N74">
        <v>-1.6697713651184849E-3</v>
      </c>
      <c r="O74">
        <v>1.126105932326509</v>
      </c>
      <c r="P74">
        <v>-1.7015547207282779E-3</v>
      </c>
    </row>
    <row r="75" spans="1:16" x14ac:dyDescent="0.25">
      <c r="A75" s="5">
        <v>45798</v>
      </c>
      <c r="B75">
        <v>-3.9438892217068369E-4</v>
      </c>
      <c r="C75">
        <v>0.97968896077473133</v>
      </c>
      <c r="D75">
        <v>1.815721752431932E-2</v>
      </c>
      <c r="E75">
        <v>-1.316728674324897E-3</v>
      </c>
      <c r="F75">
        <v>1.1245368356196579</v>
      </c>
      <c r="G75">
        <v>-5.8500082305040762E-3</v>
      </c>
      <c r="H75">
        <v>-2.03422461357592E-4</v>
      </c>
      <c r="I75">
        <v>0.96050930989035299</v>
      </c>
      <c r="J75">
        <v>-2.2382126795665681E-4</v>
      </c>
      <c r="K75">
        <v>-9.4516492235521333E-4</v>
      </c>
      <c r="L75">
        <v>0.92883400142879913</v>
      </c>
      <c r="M75">
        <v>-8.5652546871693193E-4</v>
      </c>
      <c r="N75">
        <v>-1.6697713651184849E-3</v>
      </c>
      <c r="O75">
        <v>1.126105932326509</v>
      </c>
      <c r="P75">
        <v>-1.4260406236575349E-2</v>
      </c>
    </row>
    <row r="76" spans="1:16" x14ac:dyDescent="0.25">
      <c r="A76" s="5">
        <v>45799</v>
      </c>
      <c r="B76">
        <v>-3.9438892217068369E-4</v>
      </c>
      <c r="C76">
        <v>0.97968896077473133</v>
      </c>
      <c r="D76">
        <v>3.0043833427718821E-2</v>
      </c>
      <c r="E76">
        <v>-1.316728674324897E-3</v>
      </c>
      <c r="F76">
        <v>1.1245368356196579</v>
      </c>
      <c r="G76">
        <v>6.5420061655803302E-3</v>
      </c>
      <c r="H76">
        <v>-2.03422461357592E-4</v>
      </c>
      <c r="I76">
        <v>0.96050930989035299</v>
      </c>
      <c r="J76">
        <v>-8.2066782614981151E-4</v>
      </c>
      <c r="K76">
        <v>-9.4516492235521333E-4</v>
      </c>
      <c r="L76">
        <v>0.92883400142879913</v>
      </c>
      <c r="M76">
        <v>4.8604782585068961E-3</v>
      </c>
      <c r="N76">
        <v>-1.6697713651184849E-3</v>
      </c>
      <c r="O76">
        <v>1.126105932326509</v>
      </c>
      <c r="P76">
        <v>3.9810590963633846E-3</v>
      </c>
    </row>
    <row r="77" spans="1:16" x14ac:dyDescent="0.25">
      <c r="A77" s="5">
        <v>45800</v>
      </c>
      <c r="B77">
        <v>-3.9438892217068369E-4</v>
      </c>
      <c r="C77">
        <v>0.97968896077473133</v>
      </c>
      <c r="D77">
        <v>-8.7615087721182802E-3</v>
      </c>
      <c r="E77">
        <v>-1.316728674324897E-3</v>
      </c>
      <c r="F77">
        <v>1.1245368356196579</v>
      </c>
      <c r="G77">
        <v>-1.4106872204983209E-4</v>
      </c>
      <c r="H77">
        <v>-2.03422461357592E-4</v>
      </c>
      <c r="I77">
        <v>0.96050930989035299</v>
      </c>
      <c r="J77">
        <v>-3.4313073805345802E-3</v>
      </c>
      <c r="K77">
        <v>-9.4516492235521333E-4</v>
      </c>
      <c r="L77">
        <v>0.92883400142879913</v>
      </c>
      <c r="M77">
        <v>1.508559618267323E-3</v>
      </c>
      <c r="N77">
        <v>-1.6697713651184849E-3</v>
      </c>
      <c r="O77">
        <v>1.126105932326509</v>
      </c>
      <c r="P77">
        <v>6.3825729471967882E-4</v>
      </c>
    </row>
    <row r="78" spans="1:16" x14ac:dyDescent="0.25">
      <c r="A78" s="5">
        <v>45803</v>
      </c>
      <c r="B78">
        <v>-3.9438892217068369E-4</v>
      </c>
      <c r="C78">
        <v>0.97968896077473133</v>
      </c>
      <c r="D78">
        <v>-1.488894984069385E-2</v>
      </c>
      <c r="E78">
        <v>-1.316728674324897E-3</v>
      </c>
      <c r="F78">
        <v>1.1245368356196579</v>
      </c>
      <c r="G78">
        <v>-5.2803553324212698E-3</v>
      </c>
      <c r="H78">
        <v>-2.03422461357592E-4</v>
      </c>
      <c r="I78">
        <v>0.96050930989035299</v>
      </c>
      <c r="J78">
        <v>-5.508675096452453E-3</v>
      </c>
      <c r="K78">
        <v>-9.4516492235521333E-4</v>
      </c>
      <c r="L78">
        <v>0.92883400142879913</v>
      </c>
      <c r="M78">
        <v>-1.356901976857386E-3</v>
      </c>
      <c r="N78">
        <v>-1.6697713651184849E-3</v>
      </c>
      <c r="O78">
        <v>1.126105932326509</v>
      </c>
      <c r="P78">
        <v>-3.2907476983659069E-3</v>
      </c>
    </row>
    <row r="79" spans="1:16" x14ac:dyDescent="0.25">
      <c r="A79" s="5">
        <v>45804</v>
      </c>
      <c r="B79">
        <v>-3.9438892217068369E-4</v>
      </c>
      <c r="C79">
        <v>0.97968896077473133</v>
      </c>
      <c r="D79">
        <v>-1.8327992360165291E-2</v>
      </c>
      <c r="E79">
        <v>-1.316728674324897E-3</v>
      </c>
      <c r="F79">
        <v>1.1245368356196579</v>
      </c>
      <c r="G79">
        <v>-1.9152354452397439E-4</v>
      </c>
      <c r="H79">
        <v>-2.03422461357592E-4</v>
      </c>
      <c r="I79">
        <v>0.96050930989035299</v>
      </c>
      <c r="J79">
        <v>-2.8059129242215112E-3</v>
      </c>
      <c r="K79">
        <v>-9.4516492235521333E-4</v>
      </c>
      <c r="L79">
        <v>0.92883400142879913</v>
      </c>
      <c r="M79">
        <v>-1.784558271859486E-3</v>
      </c>
      <c r="N79">
        <v>-1.6697713651184849E-3</v>
      </c>
      <c r="O79">
        <v>1.126105932326509</v>
      </c>
      <c r="P79">
        <v>-1.4633982386691639E-3</v>
      </c>
    </row>
    <row r="80" spans="1:16" x14ac:dyDescent="0.25">
      <c r="A80" s="5">
        <v>45805</v>
      </c>
      <c r="B80">
        <v>-3.9438892217068369E-4</v>
      </c>
      <c r="C80">
        <v>0.97968896077473133</v>
      </c>
      <c r="D80">
        <v>1.138184257491027E-2</v>
      </c>
      <c r="E80">
        <v>-1.316728674324897E-3</v>
      </c>
      <c r="F80">
        <v>1.1245368356196579</v>
      </c>
      <c r="G80">
        <v>-1.082606537080115E-3</v>
      </c>
      <c r="H80">
        <v>-2.03422461357592E-4</v>
      </c>
      <c r="I80">
        <v>0.96050930989035299</v>
      </c>
      <c r="J80">
        <v>-5.84636637060081E-3</v>
      </c>
      <c r="K80">
        <v>-9.4516492235521333E-4</v>
      </c>
      <c r="L80">
        <v>0.92883400142879913</v>
      </c>
      <c r="M80">
        <v>-2.315707987291899E-3</v>
      </c>
      <c r="N80">
        <v>-1.6697713651184849E-3</v>
      </c>
      <c r="O80">
        <v>1.126105932326509</v>
      </c>
      <c r="P80">
        <v>-2.3515776891655871E-3</v>
      </c>
    </row>
    <row r="81" spans="1:16" x14ac:dyDescent="0.25">
      <c r="A81" s="5">
        <v>45806</v>
      </c>
      <c r="B81">
        <v>-3.9438892217068369E-4</v>
      </c>
      <c r="C81">
        <v>0.97968896077473133</v>
      </c>
      <c r="D81">
        <v>7.1804111945758054E-3</v>
      </c>
      <c r="E81">
        <v>-1.316728674324897E-3</v>
      </c>
      <c r="F81">
        <v>1.1245368356196579</v>
      </c>
      <c r="G81">
        <v>-1.9029653037187641E-3</v>
      </c>
      <c r="H81">
        <v>-2.03422461357592E-4</v>
      </c>
      <c r="I81">
        <v>0.96050930989035299</v>
      </c>
      <c r="J81">
        <v>2.5010668668536498E-4</v>
      </c>
      <c r="K81">
        <v>-9.4516492235521333E-4</v>
      </c>
      <c r="L81">
        <v>0.92883400142879913</v>
      </c>
      <c r="M81">
        <v>-2.9091466528482421E-3</v>
      </c>
      <c r="N81">
        <v>-1.6697713651184849E-3</v>
      </c>
      <c r="O81">
        <v>1.126105932326509</v>
      </c>
      <c r="P81">
        <v>1.121407411948464E-2</v>
      </c>
    </row>
    <row r="82" spans="1:16" x14ac:dyDescent="0.25">
      <c r="A82" s="5">
        <v>45807</v>
      </c>
      <c r="B82">
        <v>-3.9438892217068369E-4</v>
      </c>
      <c r="C82">
        <v>0.97968896077473133</v>
      </c>
      <c r="D82">
        <v>1.4063273450774041E-2</v>
      </c>
      <c r="E82">
        <v>-1.316728674324897E-3</v>
      </c>
      <c r="F82">
        <v>1.1245368356196579</v>
      </c>
      <c r="G82">
        <v>1.0809131682824141E-2</v>
      </c>
      <c r="H82">
        <v>-2.03422461357592E-4</v>
      </c>
      <c r="I82">
        <v>0.96050930989035299</v>
      </c>
      <c r="J82">
        <v>-3.1271553062226301E-3</v>
      </c>
      <c r="K82">
        <v>-9.4516492235521333E-4</v>
      </c>
      <c r="L82">
        <v>0.92883400142879913</v>
      </c>
      <c r="M82">
        <v>-2.8323408475674629E-3</v>
      </c>
      <c r="N82">
        <v>-1.6697713651184849E-3</v>
      </c>
      <c r="O82">
        <v>1.126105932326509</v>
      </c>
      <c r="P82">
        <v>-1.3855458581335601E-2</v>
      </c>
    </row>
    <row r="83" spans="1:16" x14ac:dyDescent="0.25">
      <c r="A83" s="5">
        <v>45810</v>
      </c>
      <c r="B83">
        <v>-3.9438892217068369E-4</v>
      </c>
      <c r="C83">
        <v>0.97968896077473133</v>
      </c>
      <c r="D83">
        <v>-4.4510961623812663E-3</v>
      </c>
      <c r="E83">
        <v>-1.316728674324897E-3</v>
      </c>
      <c r="F83">
        <v>1.1245368356196579</v>
      </c>
      <c r="G83">
        <v>-6.853807691894631E-3</v>
      </c>
      <c r="H83">
        <v>-2.03422461357592E-4</v>
      </c>
      <c r="I83">
        <v>0.96050930989035299</v>
      </c>
      <c r="J83">
        <v>6.6429720381059303E-3</v>
      </c>
      <c r="K83">
        <v>-9.4516492235521333E-4</v>
      </c>
      <c r="L83">
        <v>0.92883400142879913</v>
      </c>
      <c r="M83">
        <v>-1.7721704851255851E-3</v>
      </c>
      <c r="N83">
        <v>-1.6697713651184849E-3</v>
      </c>
      <c r="O83">
        <v>1.126105932326509</v>
      </c>
      <c r="P83">
        <v>-2.372818229111295E-2</v>
      </c>
    </row>
    <row r="84" spans="1:16" x14ac:dyDescent="0.25">
      <c r="A84" s="5">
        <v>45811</v>
      </c>
      <c r="B84">
        <v>-3.9438892217068369E-4</v>
      </c>
      <c r="C84">
        <v>0.97968896077473133</v>
      </c>
      <c r="D84">
        <v>-1.7150413735941911E-2</v>
      </c>
      <c r="E84">
        <v>-1.316728674324897E-3</v>
      </c>
      <c r="F84">
        <v>1.1245368356196579</v>
      </c>
      <c r="G84">
        <v>8.3197304471734762E-3</v>
      </c>
      <c r="H84">
        <v>-2.03422461357592E-4</v>
      </c>
      <c r="I84">
        <v>0.96050930989035299</v>
      </c>
      <c r="J84">
        <v>2.707758672824035E-3</v>
      </c>
      <c r="K84">
        <v>-9.4516492235521333E-4</v>
      </c>
      <c r="L84">
        <v>0.92883400142879913</v>
      </c>
      <c r="M84">
        <v>2.9215199130061451E-3</v>
      </c>
      <c r="N84">
        <v>-1.6697713651184849E-3</v>
      </c>
      <c r="O84">
        <v>1.126105932326509</v>
      </c>
      <c r="P84">
        <v>7.6224267401633723E-3</v>
      </c>
    </row>
    <row r="85" spans="1:16" x14ac:dyDescent="0.25">
      <c r="A85" s="5">
        <v>45812</v>
      </c>
      <c r="B85">
        <v>-3.9438892217068369E-4</v>
      </c>
      <c r="C85">
        <v>0.97968896077473133</v>
      </c>
      <c r="D85">
        <v>-1.7646339608996611E-2</v>
      </c>
      <c r="E85">
        <v>-1.316728674324897E-3</v>
      </c>
      <c r="F85">
        <v>1.1245368356196579</v>
      </c>
      <c r="G85">
        <v>-4.9823192265073405E-4</v>
      </c>
      <c r="H85">
        <v>-2.03422461357592E-4</v>
      </c>
      <c r="I85">
        <v>0.96050930989035299</v>
      </c>
      <c r="J85">
        <v>-2.0915263612766122E-3</v>
      </c>
      <c r="K85">
        <v>-9.4516492235521333E-4</v>
      </c>
      <c r="L85">
        <v>0.92883400142879913</v>
      </c>
      <c r="M85">
        <v>1.7635716325942338E-2</v>
      </c>
      <c r="N85">
        <v>-1.6697713651184849E-3</v>
      </c>
      <c r="O85">
        <v>1.126105932326509</v>
      </c>
      <c r="P85">
        <v>-6.4790896375224978E-3</v>
      </c>
    </row>
    <row r="86" spans="1:16" x14ac:dyDescent="0.25">
      <c r="A86" s="5">
        <v>45813</v>
      </c>
      <c r="B86">
        <v>-3.9438892217068369E-4</v>
      </c>
      <c r="C86">
        <v>0.97968896077473133</v>
      </c>
      <c r="D86">
        <v>6.7216754389068864E-3</v>
      </c>
      <c r="E86">
        <v>-1.316728674324897E-3</v>
      </c>
      <c r="F86">
        <v>1.1245368356196579</v>
      </c>
      <c r="G86">
        <v>2.2723653809334312E-3</v>
      </c>
      <c r="H86">
        <v>-2.03422461357592E-4</v>
      </c>
      <c r="I86">
        <v>0.96050930989035299</v>
      </c>
      <c r="J86">
        <v>-2.5405901851061172E-3</v>
      </c>
      <c r="K86">
        <v>-9.4516492235521333E-4</v>
      </c>
      <c r="L86">
        <v>0.92883400142879913</v>
      </c>
      <c r="M86">
        <v>7.0752883702993249E-3</v>
      </c>
      <c r="N86">
        <v>-1.6697713651184849E-3</v>
      </c>
      <c r="O86">
        <v>1.126105932326509</v>
      </c>
      <c r="P86">
        <v>7.3041079473292504E-3</v>
      </c>
    </row>
    <row r="87" spans="1:16" x14ac:dyDescent="0.25">
      <c r="A87" s="5">
        <v>45814</v>
      </c>
      <c r="B87">
        <v>-3.9438892217068369E-4</v>
      </c>
      <c r="C87">
        <v>0.97968896077473133</v>
      </c>
      <c r="D87">
        <v>5.785339968403109E-3</v>
      </c>
      <c r="E87">
        <v>-1.316728674324897E-3</v>
      </c>
      <c r="F87">
        <v>1.1245368356196579</v>
      </c>
      <c r="G87">
        <v>1.342990453394795E-2</v>
      </c>
      <c r="H87">
        <v>-2.03422461357592E-4</v>
      </c>
      <c r="I87">
        <v>0.96050930989035299</v>
      </c>
      <c r="J87">
        <v>-8.9595615542416296E-4</v>
      </c>
      <c r="K87">
        <v>-9.4516492235521333E-4</v>
      </c>
      <c r="L87">
        <v>0.92883400142879913</v>
      </c>
      <c r="M87">
        <v>-1.5912202644196331E-3</v>
      </c>
      <c r="N87">
        <v>-1.6697713651184849E-3</v>
      </c>
      <c r="O87">
        <v>1.126105932326509</v>
      </c>
      <c r="P87">
        <v>-7.5371613248036377E-3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2025-08-19T19:49:23Z</dcterms:created>
  <dcterms:modified xsi:type="dcterms:W3CDTF">2025-08-19T19:50:28Z</dcterms:modified>
</cp:coreProperties>
</file>